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 Client information" sheetId="1" r:id="rId5"/>
    <sheet state="visible" name="🚀 Mobility program(s)" sheetId="2" r:id="rId6"/>
    <sheet state="visible" name="📢 GO LIVE planning" sheetId="3" r:id="rId7"/>
    <sheet state="visible" name="✅ KYC documents" sheetId="4" r:id="rId8"/>
    <sheet state="visible" name="📚 CSM overview" sheetId="5" r:id="rId9"/>
    <sheet state="hidden" name="✍️ CSM notes" sheetId="6" r:id="rId10"/>
    <sheet state="hidden" name="☑️  Validations Briefing" sheetId="7" r:id="rId11"/>
    <sheet state="visible" name="👥 Admin creation file" sheetId="8" r:id="rId12"/>
    <sheet state="hidden" name="💰 Prepayment notice" sheetId="9" r:id="rId13"/>
    <sheet state="hidden" name="👾 RAW MAPPING" sheetId="10" r:id="rId14"/>
  </sheets>
  <definedNames/>
  <calcPr/>
</workbook>
</file>

<file path=xl/sharedStrings.xml><?xml version="1.0" encoding="utf-8"?>
<sst xmlns="http://schemas.openxmlformats.org/spreadsheetml/2006/main" count="1479" uniqueCount="679">
  <si>
    <t>Project scope &amp; Set-up</t>
  </si>
  <si>
    <t>Contract status</t>
  </si>
  <si>
    <r>
      <rPr>
        <rFont val="Inter"/>
        <b/>
        <color rgb="FF97E6E6"/>
        <sz val="30.0"/>
      </rPr>
      <t>1</t>
    </r>
    <r>
      <rPr>
        <rFont val="Inter"/>
        <b/>
        <color theme="1"/>
        <sz val="30.0"/>
      </rPr>
      <t xml:space="preserve">  Introduction</t>
    </r>
  </si>
  <si>
    <r>
      <rPr>
        <rFont val="Arial"/>
        <b/>
        <color theme="1"/>
      </rPr>
      <t>&lt;&lt;&lt;  unfold</t>
    </r>
    <r>
      <rPr>
        <rFont val="Inter"/>
        <b/>
        <color rgb="FF46BDC6"/>
      </rPr>
      <t xml:space="preserve"> +</t>
    </r>
  </si>
  <si>
    <t>Purpose</t>
  </si>
  <si>
    <t>This document serves the purpose to align the project team of the client with the different internal teams at Skipr.</t>
  </si>
  <si>
    <t>Document set-up</t>
  </si>
  <si>
    <r>
      <rPr>
        <rFont val="Inter"/>
        <color rgb="FF666666"/>
      </rPr>
      <t xml:space="preserve">Please complete the tabs </t>
    </r>
    <r>
      <rPr>
        <rFont val="Inter"/>
        <b/>
        <color rgb="FF666666"/>
      </rPr>
      <t>Client information</t>
    </r>
    <r>
      <rPr>
        <rFont val="Inter"/>
        <color rgb="FF666666"/>
      </rPr>
      <t xml:space="preserve">, </t>
    </r>
    <r>
      <rPr>
        <rFont val="Inter"/>
        <b/>
        <color rgb="FF666666"/>
      </rPr>
      <t>Mobility Program(s)</t>
    </r>
    <r>
      <rPr>
        <rFont val="Inter"/>
        <color rgb="FF666666"/>
      </rPr>
      <t xml:space="preserve"> to the best of your ability and at your earliest convenience.</t>
    </r>
  </si>
  <si>
    <r>
      <rPr>
        <rFont val="Inter"/>
        <color rgb="FF666666"/>
      </rPr>
      <t xml:space="preserve">Please </t>
    </r>
    <r>
      <rPr>
        <rFont val="Inter"/>
        <b/>
        <color rgb="FF666666"/>
      </rPr>
      <t xml:space="preserve">avoid changing the layout </t>
    </r>
    <r>
      <rPr>
        <rFont val="Inter"/>
        <color rgb="FF666666"/>
      </rPr>
      <t>of this excel, as it might impact underlying formulas.</t>
    </r>
  </si>
  <si>
    <r>
      <rPr>
        <rFont val="Inter"/>
        <color rgb="FF666666"/>
      </rPr>
      <t xml:space="preserve">Some sections might be folded, please use the '+' icon in the nav bar, next to the indication " </t>
    </r>
    <r>
      <rPr>
        <rFont val="Inter"/>
        <b/>
        <color rgb="FF666666"/>
      </rPr>
      <t xml:space="preserve">&lt;&lt;&lt;  unfold </t>
    </r>
    <r>
      <rPr>
        <rFont val="Inter"/>
        <b/>
        <color rgb="FF46BDC6"/>
      </rPr>
      <t>+</t>
    </r>
    <r>
      <rPr>
        <rFont val="Inter"/>
        <color rgb="FF666666"/>
      </rPr>
      <t xml:space="preserve"> "  to unfold them.</t>
    </r>
  </si>
  <si>
    <t>Process</t>
  </si>
  <si>
    <r>
      <rPr>
        <rFont val="Inter"/>
        <color rgb="FF666666"/>
      </rPr>
      <t xml:space="preserve">The  dedicated CSM at Skipr shares this document with the client, the client thereafter completes tabs </t>
    </r>
    <r>
      <rPr>
        <rFont val="Inter"/>
        <b/>
        <color rgb="FF666666"/>
      </rPr>
      <t>Client information</t>
    </r>
    <r>
      <rPr>
        <rFont val="Inter"/>
        <color rgb="FF666666"/>
      </rPr>
      <t xml:space="preserve"> and </t>
    </r>
    <r>
      <rPr>
        <rFont val="Inter"/>
        <b/>
        <color rgb="FF666666"/>
      </rPr>
      <t xml:space="preserve">Mobility Program(s) </t>
    </r>
    <r>
      <rPr>
        <rFont val="Inter"/>
        <color rgb="FF666666"/>
      </rPr>
      <t>to the best of their ability.</t>
    </r>
  </si>
  <si>
    <r>
      <rPr>
        <rFont val="Inter"/>
        <color rgb="FF666666"/>
      </rPr>
      <t xml:space="preserve">The tab </t>
    </r>
    <r>
      <rPr>
        <rFont val="Inter"/>
        <b/>
        <color rgb="FF666666"/>
      </rPr>
      <t>GO LIVE planning</t>
    </r>
    <r>
      <rPr>
        <rFont val="Inter"/>
        <color rgb="FF666666"/>
      </rPr>
      <t xml:space="preserve"> will be completed together with the CSM.</t>
    </r>
  </si>
  <si>
    <r>
      <rPr>
        <rFont val="Inter"/>
        <color rgb="FF666666"/>
      </rPr>
      <t xml:space="preserve">Upon completion of tab </t>
    </r>
    <r>
      <rPr>
        <rFont val="Inter"/>
        <b/>
        <color rgb="FF666666"/>
      </rPr>
      <t>client information</t>
    </r>
    <r>
      <rPr>
        <rFont val="Inter"/>
        <color rgb="FF666666"/>
      </rPr>
      <t xml:space="preserve"> and </t>
    </r>
    <r>
      <rPr>
        <rFont val="Inter"/>
        <b/>
        <color rgb="FF666666"/>
      </rPr>
      <t>Mobility Program(s)</t>
    </r>
    <r>
      <rPr>
        <rFont val="Inter"/>
        <color rgb="FF666666"/>
      </rPr>
      <t>, the client shares the completed excel file back to the dedicated CSM.</t>
    </r>
  </si>
  <si>
    <t>A meeting is scheduled to review the information together.</t>
  </si>
  <si>
    <r>
      <rPr>
        <rFont val="Inter"/>
        <color rgb="FF666666"/>
      </rPr>
      <t>Based on the provided information, a</t>
    </r>
    <r>
      <rPr>
        <rFont val="Inter"/>
        <b/>
        <color rgb="FF666666"/>
      </rPr>
      <t xml:space="preserve"> go live planning</t>
    </r>
    <r>
      <rPr>
        <rFont val="Inter"/>
        <color rgb="FF666666"/>
      </rPr>
      <t xml:space="preserve"> is shaped (draft).</t>
    </r>
  </si>
  <si>
    <r>
      <rPr>
        <rFont val="Inter"/>
        <color rgb="FF666666"/>
      </rPr>
      <t xml:space="preserve">The </t>
    </r>
    <r>
      <rPr>
        <rFont val="Inter"/>
        <b/>
        <color rgb="FF666666"/>
      </rPr>
      <t>first touchpoints</t>
    </r>
    <r>
      <rPr>
        <rFont val="Inter"/>
        <color rgb="FF666666"/>
      </rPr>
      <t xml:space="preserve"> of the go live planning are planned.</t>
    </r>
  </si>
  <si>
    <r>
      <rPr>
        <rFont val="Inter"/>
        <color rgb="FF666666"/>
      </rPr>
      <t xml:space="preserve">A </t>
    </r>
    <r>
      <rPr>
        <rFont val="Inter"/>
        <b/>
        <color rgb="FF666666"/>
      </rPr>
      <t xml:space="preserve">final version </t>
    </r>
    <r>
      <rPr>
        <rFont val="Inter"/>
        <color rgb="FF666666"/>
      </rPr>
      <t>is shared with both parties.</t>
    </r>
  </si>
  <si>
    <r>
      <rPr>
        <rFont val="Inter"/>
        <color rgb="FF666666"/>
      </rPr>
      <t xml:space="preserve">The CSM </t>
    </r>
    <r>
      <rPr>
        <rFont val="Inter"/>
        <b/>
        <color rgb="FF666666"/>
      </rPr>
      <t>configures</t>
    </r>
    <r>
      <rPr>
        <rFont val="Inter"/>
        <color rgb="FF666666"/>
      </rPr>
      <t xml:space="preserve"> the dashboard accordingly.</t>
    </r>
  </si>
  <si>
    <t>Thank you for taking the time to complete this questionnaire! 😊</t>
  </si>
  <si>
    <t>🎯</t>
  </si>
  <si>
    <r>
      <rPr>
        <rFont val="Inter"/>
        <b/>
        <color rgb="FF97E6E6"/>
        <sz val="30.0"/>
      </rPr>
      <t xml:space="preserve"> 2</t>
    </r>
    <r>
      <rPr>
        <rFont val="Inter"/>
        <b/>
        <color theme="1"/>
        <sz val="30.0"/>
      </rPr>
      <t xml:space="preserve"> Objectives</t>
    </r>
  </si>
  <si>
    <r>
      <rPr>
        <rFont val="Arial"/>
        <b/>
        <color theme="1"/>
      </rPr>
      <t>&lt;&lt;&lt;  unfold</t>
    </r>
    <r>
      <rPr>
        <rFont val="Inter"/>
        <b/>
        <color rgb="FF46BDC6"/>
      </rPr>
      <t xml:space="preserve"> +</t>
    </r>
  </si>
  <si>
    <t>2.1 Please copy-paste your 3 main strategic business objectives</t>
  </si>
  <si>
    <r>
      <rPr>
        <rFont val="Inter"/>
        <color rgb="FFFFFFFF"/>
      </rPr>
      <t xml:space="preserve">Startegic Business Objectives </t>
    </r>
    <r>
      <rPr>
        <rFont val="Inter"/>
        <b/>
        <color rgb="FFFFD966"/>
      </rPr>
      <t>(copy)</t>
    </r>
  </si>
  <si>
    <t>Ensure compliance with legislastion</t>
  </si>
  <si>
    <t>Reduce cost linked to mobility</t>
  </si>
  <si>
    <t>Centralise mobility data</t>
  </si>
  <si>
    <t>Measure CO2 emissions</t>
  </si>
  <si>
    <r>
      <rPr>
        <rFont val="Inter"/>
        <color rgb="FFFFFFFF"/>
      </rPr>
      <t>My selection of 3 business objectives</t>
    </r>
    <r>
      <rPr>
        <rFont val="Inter"/>
        <color rgb="FFFFD966"/>
      </rPr>
      <t xml:space="preserve"> </t>
    </r>
    <r>
      <rPr>
        <rFont val="Inter"/>
        <b/>
        <color rgb="FFFFD966"/>
      </rPr>
      <t>(paste)</t>
    </r>
  </si>
  <si>
    <t>Attract new talent on the job market</t>
  </si>
  <si>
    <t>Increase available mobility options</t>
  </si>
  <si>
    <t>&gt;&gt;&gt;</t>
  </si>
  <si>
    <t>Reduce workload linked to mobility</t>
  </si>
  <si>
    <t>Increase employee retention</t>
  </si>
  <si>
    <t>Provide insights to executive team</t>
  </si>
  <si>
    <t>Reduce car fleet</t>
  </si>
  <si>
    <t>2.2 Please define at least one metric to measure the success of this project</t>
  </si>
  <si>
    <t>(example: X starters in the mobility program at the launch of the project)</t>
  </si>
  <si>
    <t>🏢</t>
  </si>
  <si>
    <r>
      <rPr>
        <rFont val="Inter"/>
        <b/>
        <color rgb="FF97E6E6"/>
        <sz val="30.0"/>
      </rPr>
      <t xml:space="preserve"> 3 </t>
    </r>
    <r>
      <rPr>
        <rFont val="Inter"/>
        <b/>
        <color theme="1"/>
        <sz val="30.0"/>
      </rPr>
      <t>Company profile information</t>
    </r>
  </si>
  <si>
    <r>
      <rPr>
        <rFont val="Arial"/>
        <b/>
        <color theme="1"/>
      </rPr>
      <t>&lt;&lt;&lt;  unfold</t>
    </r>
    <r>
      <rPr>
        <rFont val="Inter"/>
        <b/>
        <color rgb="FF46BDC6"/>
      </rPr>
      <t xml:space="preserve"> +</t>
    </r>
  </si>
  <si>
    <r>
      <rPr>
        <rFont val="Inter"/>
        <b/>
        <color theme="1"/>
        <sz val="12.0"/>
      </rPr>
      <t>3.1 Please complete the company information table below</t>
    </r>
    <r>
      <rPr>
        <rFont val="Inter"/>
        <b/>
        <color rgb="FF97E6E6"/>
        <sz val="12.0"/>
      </rPr>
      <t xml:space="preserve"> *</t>
    </r>
  </si>
  <si>
    <t>Layout note: adding rows to this table is allowed (if needed) but please ensure the total # of employees sum is correct</t>
  </si>
  <si>
    <t>(Invoices are also send via Peppol)</t>
  </si>
  <si>
    <r>
      <rPr>
        <rFont val="Inter"/>
        <color rgb="FFFFFFFF"/>
      </rPr>
      <t>Name of entity</t>
    </r>
    <r>
      <rPr>
        <rFont val="Inter"/>
        <color rgb="FF97E6E6"/>
      </rPr>
      <t xml:space="preserve"> *</t>
    </r>
  </si>
  <si>
    <t>Parent entity</t>
  </si>
  <si>
    <r>
      <rPr>
        <rFont val="Inter"/>
        <color rgb="FFFFFFFF"/>
      </rPr>
      <t xml:space="preserve">VAT number </t>
    </r>
    <r>
      <rPr>
        <rFont val="Inter"/>
        <color rgb="FF97E6E6"/>
      </rPr>
      <t>*</t>
    </r>
  </si>
  <si>
    <r>
      <rPr>
        <rFont val="Inter"/>
        <color rgb="FFFFFFFF"/>
      </rPr>
      <t xml:space="preserve">Street + nr. </t>
    </r>
    <r>
      <rPr>
        <rFont val="Inter"/>
        <color rgb="FF97E6E6"/>
      </rPr>
      <t>*</t>
    </r>
  </si>
  <si>
    <r>
      <rPr>
        <rFont val="Inter"/>
        <color rgb="FFFFFFFF"/>
      </rPr>
      <t xml:space="preserve">Postal code, city </t>
    </r>
    <r>
      <rPr>
        <rFont val="Inter"/>
        <color rgb="FF97E6E6"/>
      </rPr>
      <t>*</t>
    </r>
  </si>
  <si>
    <r>
      <rPr>
        <rFont val="Inter"/>
        <color rgb="FFFFFFFF"/>
      </rPr>
      <t># of employees</t>
    </r>
    <r>
      <rPr>
        <rFont val="Inter"/>
        <color rgb="FF97E6E6"/>
      </rPr>
      <t xml:space="preserve"> *</t>
    </r>
  </si>
  <si>
    <r>
      <rPr>
        <rFont val="Inter"/>
        <color rgb="FFFFFFFF"/>
      </rPr>
      <t xml:space="preserve">Skipr fee invoice
recipient e-mail address </t>
    </r>
    <r>
      <rPr>
        <rFont val="Inter"/>
        <color rgb="FF97E6E6"/>
      </rPr>
      <t>*</t>
    </r>
  </si>
  <si>
    <t>PO number</t>
  </si>
  <si>
    <t>Mother entity =</t>
  </si>
  <si>
    <t>(if applicable)</t>
  </si>
  <si>
    <r>
      <rPr>
        <rFont val="Inter"/>
        <b/>
        <color theme="1"/>
        <sz val="12.0"/>
      </rPr>
      <t>3.2 Please specify the main points of contact during the project implementation phase</t>
    </r>
    <r>
      <rPr>
        <rFont val="Inter"/>
        <b/>
        <color rgb="FF97E6E6"/>
        <sz val="12.0"/>
      </rPr>
      <t xml:space="preserve"> *</t>
    </r>
  </si>
  <si>
    <t>Layout note: adding rows to this table will not interfere with underlying formulas and is therefore allowed</t>
  </si>
  <si>
    <r>
      <rPr>
        <rFont val="Inter"/>
        <color rgb="FFFFFFFF"/>
      </rPr>
      <t>First name</t>
    </r>
    <r>
      <rPr>
        <rFont val="Inter"/>
        <color rgb="FF97E6E6"/>
      </rPr>
      <t xml:space="preserve"> *</t>
    </r>
  </si>
  <si>
    <r>
      <rPr>
        <rFont val="Inter"/>
        <color rgb="FFFFFFFF"/>
      </rPr>
      <t>Last name</t>
    </r>
    <r>
      <rPr>
        <rFont val="Inter"/>
        <color rgb="FF97E6E6"/>
      </rPr>
      <t xml:space="preserve"> *</t>
    </r>
  </si>
  <si>
    <r>
      <rPr>
        <rFont val="Inter"/>
        <color rgb="FFFFFFFF"/>
      </rPr>
      <t xml:space="preserve">email </t>
    </r>
    <r>
      <rPr>
        <rFont val="Inter"/>
        <color rgb="FF97E6E6"/>
      </rPr>
      <t>*</t>
    </r>
  </si>
  <si>
    <t>Role</t>
  </si>
  <si>
    <t>Phone number
('+32474...)</t>
  </si>
  <si>
    <t>MAIN SPOC =</t>
  </si>
  <si>
    <r>
      <rPr>
        <rFont val="Inter"/>
        <b/>
        <color theme="1"/>
        <sz val="12.0"/>
      </rPr>
      <t xml:space="preserve">3.3 Please specify who needs admin access to the admin dashboard </t>
    </r>
    <r>
      <rPr>
        <rFont val="Inter"/>
        <b/>
        <color rgb="FF97E6E6"/>
        <sz val="12.0"/>
      </rPr>
      <t>*</t>
    </r>
  </si>
  <si>
    <r>
      <rPr>
        <rFont val="Inter"/>
        <i/>
        <color rgb="FF666666"/>
        <sz val="10.0"/>
      </rPr>
      <t xml:space="preserve">Layout note: adding rows to this table </t>
    </r>
    <r>
      <rPr>
        <rFont val="Inter"/>
        <b/>
        <i/>
        <color rgb="FF666666"/>
        <sz val="10.0"/>
      </rPr>
      <t>will interfere</t>
    </r>
    <r>
      <rPr>
        <rFont val="Inter"/>
        <i/>
        <color rgb="FF666666"/>
        <sz val="10.0"/>
      </rPr>
      <t xml:space="preserve"> with underlying formulas and is therefore </t>
    </r>
    <r>
      <rPr>
        <rFont val="Inter"/>
        <b/>
        <i/>
        <color rgb="FF666666"/>
        <sz val="10.0"/>
      </rPr>
      <t>not recommended</t>
    </r>
  </si>
  <si>
    <r>
      <rPr>
        <rFont val="Inter"/>
        <color rgb="FFFFFFFF"/>
        <sz val="10.0"/>
      </rPr>
      <t>First name</t>
    </r>
    <r>
      <rPr>
        <rFont val="Inter"/>
        <color rgb="FF97E6E6"/>
        <sz val="10.0"/>
      </rPr>
      <t xml:space="preserve"> *</t>
    </r>
  </si>
  <si>
    <r>
      <rPr>
        <rFont val="Inter"/>
        <color rgb="FFFFFFFF"/>
        <sz val="10.0"/>
      </rPr>
      <t>Last name</t>
    </r>
    <r>
      <rPr>
        <rFont val="Inter"/>
        <color rgb="FF97E6E6"/>
        <sz val="10.0"/>
      </rPr>
      <t xml:space="preserve"> *</t>
    </r>
  </si>
  <si>
    <r>
      <rPr>
        <rFont val="Inter"/>
        <color rgb="FFFFFFFF"/>
        <sz val="10.0"/>
      </rPr>
      <t xml:space="preserve">email </t>
    </r>
    <r>
      <rPr>
        <rFont val="Inter"/>
        <color rgb="FF97E6E6"/>
        <sz val="10.0"/>
      </rPr>
      <t>*</t>
    </r>
  </si>
  <si>
    <r>
      <rPr>
        <rFont val="Inter"/>
        <color rgb="FFFFFFFF"/>
        <sz val="10.0"/>
      </rPr>
      <t xml:space="preserve">Role </t>
    </r>
    <r>
      <rPr>
        <rFont val="Inter"/>
        <color rgb="FF97E6E6"/>
        <sz val="10.0"/>
      </rPr>
      <t>*</t>
    </r>
  </si>
  <si>
    <r>
      <rPr>
        <rFont val="Inter"/>
        <color rgb="FFFFFFFF"/>
        <sz val="10.0"/>
      </rPr>
      <t>Language</t>
    </r>
    <r>
      <rPr>
        <rFont val="Inter"/>
        <color rgb="FF97E6E6"/>
        <sz val="10.0"/>
      </rPr>
      <t xml:space="preserve"> *</t>
    </r>
  </si>
  <si>
    <r>
      <rPr>
        <rFont val="Inter"/>
        <color rgb="FFFFFFFF"/>
        <sz val="10.0"/>
      </rPr>
      <t xml:space="preserve">Gender  </t>
    </r>
    <r>
      <rPr>
        <rFont val="Inter"/>
        <color rgb="FF97E6E6"/>
        <sz val="10.0"/>
      </rPr>
      <t>*</t>
    </r>
  </si>
  <si>
    <r>
      <rPr>
        <rFont val="Inter"/>
        <color rgb="FFFFFFFF"/>
        <sz val="10.0"/>
      </rPr>
      <t xml:space="preserve">Admin access to all entities? </t>
    </r>
    <r>
      <rPr>
        <rFont val="Inter"/>
        <color rgb="FF97E6E6"/>
        <sz val="10.0"/>
      </rPr>
      <t>*</t>
    </r>
  </si>
  <si>
    <t>If no, to which entities should this admin get access?</t>
  </si>
  <si>
    <r>
      <rPr>
        <rFont val="Inter"/>
        <color rgb="FFFFFFFF"/>
        <sz val="10.0"/>
      </rPr>
      <t xml:space="preserve">Also an employee access? </t>
    </r>
    <r>
      <rPr>
        <rFont val="Inter"/>
        <color rgb="FF97E6E6"/>
        <sz val="10.0"/>
      </rPr>
      <t>*</t>
    </r>
  </si>
  <si>
    <t>If yes, in which entity?</t>
  </si>
  <si>
    <t>created</t>
  </si>
  <si>
    <t>3.4 Please find hereunder your Skipr team contacts</t>
  </si>
  <si>
    <t>First name</t>
  </si>
  <si>
    <t>Last name</t>
  </si>
  <si>
    <t>email</t>
  </si>
  <si>
    <t>Phone number</t>
  </si>
  <si>
    <t>Customer Success Manager</t>
  </si>
  <si>
    <t>Sales contact person</t>
  </si>
  <si>
    <t>🤝</t>
  </si>
  <si>
    <r>
      <rPr>
        <rFont val="Inter"/>
        <b/>
        <color rgb="FF97E6E6"/>
        <sz val="30.0"/>
      </rPr>
      <t xml:space="preserve"> 4</t>
    </r>
    <r>
      <rPr>
        <rFont val="Inter"/>
        <b/>
        <color theme="1"/>
        <sz val="30.0"/>
      </rPr>
      <t xml:space="preserve"> Mobility offer &amp; expectations</t>
    </r>
  </si>
  <si>
    <r>
      <rPr>
        <rFont val="Arial"/>
        <b/>
        <color theme="1"/>
      </rPr>
      <t>&lt;&lt;&lt;  unfold</t>
    </r>
    <r>
      <rPr>
        <rFont val="Inter"/>
        <b/>
        <color rgb="FF46BDC6"/>
      </rPr>
      <t xml:space="preserve"> +</t>
    </r>
  </si>
  <si>
    <t>4.1 Please specify all mobility solutions you offer today to your employees by using the dropdown options</t>
  </si>
  <si>
    <t>Bike allowance</t>
  </si>
  <si>
    <t>Mobility in cafetaria plan</t>
  </si>
  <si>
    <t>Car allowance</t>
  </si>
  <si>
    <t>Professional travel expenses</t>
  </si>
  <si>
    <t>Pedestrian allowance</t>
  </si>
  <si>
    <t>Public transport subscriptions (third-party agreement)</t>
  </si>
  <si>
    <t>Bike lease</t>
  </si>
  <si>
    <t>100% reimbursement of all public transport</t>
  </si>
  <si>
    <t>Company cars</t>
  </si>
  <si>
    <t>=/&lt; 80% reimbursement for public transport other than NMBS</t>
  </si>
  <si>
    <t>4.2 other mobility benefits you offer?</t>
  </si>
  <si>
    <t>4.3 Company car information - only for Federal Mobility Budget</t>
  </si>
  <si>
    <t>Layout note: adding rows to this table is allowed (if needed) but please ensure the total sum is correct</t>
  </si>
  <si>
    <t>Name of entity</t>
  </si>
  <si>
    <t># of company cars</t>
  </si>
  <si>
    <t>number of people with cash for car / car allowance</t>
  </si>
  <si>
    <t>Lease duration</t>
  </si>
  <si>
    <t>Cars going End-of-lease this year</t>
  </si>
  <si>
    <t>Cars going End-of-lease next year</t>
  </si>
  <si>
    <t>Federal Mobility Budget already live?</t>
  </si>
  <si>
    <t>4.4 Did you complete a mobility consultancy track linked to the federal mobility budget?</t>
  </si>
  <si>
    <t>4.4.1 Do you have a mobility policy?</t>
  </si>
  <si>
    <t>4.4.2 Have you made the budget calculations?</t>
  </si>
  <si>
    <t>Expectations for integrations and automations</t>
  </si>
  <si>
    <r>
      <rPr>
        <rFont val="Inter"/>
        <b/>
        <color theme="1"/>
        <sz val="12.0"/>
      </rPr>
      <t>4.5 Which additional features would you like to include in your offering?</t>
    </r>
    <r>
      <rPr>
        <rFont val="Inter"/>
        <b/>
        <color rgb="FF97E6E6"/>
        <sz val="12.0"/>
      </rPr>
      <t xml:space="preserve"> *</t>
    </r>
  </si>
  <si>
    <t>Additional feature might come at additional costs. In case of questions, reach out to your sales contact person or / and consult the contract agreement.</t>
  </si>
  <si>
    <t>Feature</t>
  </si>
  <si>
    <t>Explanation</t>
  </si>
  <si>
    <t>Selected?</t>
  </si>
  <si>
    <t>Expense validation</t>
  </si>
  <si>
    <t>Skipr validation team validates all pending expenses/ reimbursement requests that need an additional proof/ receipt</t>
  </si>
  <si>
    <t>Expense validations: Additional information</t>
  </si>
  <si>
    <t>- What day of the month to you usually treat payroll?</t>
  </si>
  <si>
    <t>- When would you like Skipr to first check the pending expenses?</t>
  </si>
  <si>
    <t>- When would you like Skipr  to check the pending expenses for a second time?</t>
  </si>
  <si>
    <t>- For recurring expenses, in case of an active contract, do you also require a proof of payment each month? (monthly manual workload for employee)</t>
  </si>
  <si>
    <t>- In case of housing cost, do you require a proof of the employee they are living within a 10km range?</t>
  </si>
  <si>
    <t>- Auto-approve of entire recurrence allowed after first occurence proof check</t>
  </si>
  <si>
    <t>- What proof are you requesting and for which type of expenses?</t>
  </si>
  <si>
    <t xml:space="preserve">- Question for Skipr CSM: </t>
  </si>
  <si>
    <t>What is the validations team mail address?</t>
  </si>
  <si>
    <t>teambackoffice.skipr+...@smartelia.com</t>
  </si>
  <si>
    <t>Single-sign on</t>
  </si>
  <si>
    <t>Upon login, users are redirected to a company page with the password auto-completed</t>
  </si>
  <si>
    <t>User data management</t>
  </si>
  <si>
    <t>An intergration between Skipr and your internal system to automatically create / archive users</t>
  </si>
  <si>
    <t>Payroll report</t>
  </si>
  <si>
    <t>A custom payroll report with the correct mapping and paycodes to bulk reimburse employees</t>
  </si>
  <si>
    <t>Payroll report:
Additional information</t>
  </si>
  <si>
    <t>- What payroll provider / social secretary do you work with?</t>
  </si>
  <si>
    <t>- Cut-off date (reimburses entered after this day will be part of the next payroll report)</t>
  </si>
  <si>
    <t>- Delivery date (the date in the month you will receive your custom payroll report)</t>
  </si>
  <si>
    <t>- In case someone leaves the company during the year, is their pillar 3 reimbursed on the last payslip? (in case of Federal Mobility Budget)</t>
  </si>
  <si>
    <t>- Recipients of the monthly payroll report?</t>
  </si>
  <si>
    <t>Please complete this field....</t>
  </si>
  <si>
    <t>Public transport subscription management</t>
  </si>
  <si>
    <t>Employees can request subscriptions via their dashboard and Skipr takes care of the order flow and budget impact</t>
  </si>
  <si>
    <t>Virtual Mobility Cards</t>
  </si>
  <si>
    <t>Will (some of your) employees benefit from a digital mobility payment card?</t>
  </si>
  <si>
    <t>Physical Mobility Cards</t>
  </si>
  <si>
    <t>Will (some of your) employees benefit from a physical mobility payment card?</t>
  </si>
  <si>
    <t>Thank you for taking the time to complete the client information tab! 😊</t>
  </si>
  <si>
    <t xml:space="preserve"> 👉 Please also complete the tab Mobility program(s)</t>
  </si>
  <si>
    <t>🚀</t>
  </si>
  <si>
    <t>Mobility program configuration</t>
  </si>
  <si>
    <t>Introduction mobility program configuration</t>
  </si>
  <si>
    <r>
      <rPr>
        <rFont val="Inter"/>
        <color rgb="FF666666"/>
      </rPr>
      <t xml:space="preserve">Please </t>
    </r>
    <r>
      <rPr>
        <rFont val="Inter"/>
        <b/>
        <color rgb="FF666666"/>
      </rPr>
      <t>complete</t>
    </r>
    <r>
      <rPr>
        <rFont val="Inter"/>
        <color rgb="FF666666"/>
      </rPr>
      <t xml:space="preserve"> </t>
    </r>
    <r>
      <rPr>
        <rFont val="Inter"/>
        <b/>
        <color rgb="FF666666"/>
      </rPr>
      <t xml:space="preserve">all grey fields </t>
    </r>
    <r>
      <rPr>
        <rFont val="Inter"/>
        <color rgb="FF666666"/>
      </rPr>
      <t>to the best of your ability at your earliest convenience.</t>
    </r>
  </si>
  <si>
    <t>Please do not change the layout of this template, as it might impact underlying formulas.</t>
  </si>
  <si>
    <r>
      <rPr>
        <rFont val="Inter"/>
        <color rgb="FF666666"/>
      </rPr>
      <t xml:space="preserve">Some sections might be folded, please use the '+' icon in the nav bar, next to the indication " </t>
    </r>
    <r>
      <rPr>
        <rFont val="Inter"/>
        <b/>
        <color rgb="FF666666"/>
      </rPr>
      <t xml:space="preserve">&lt;&lt;&lt;  unfold </t>
    </r>
    <r>
      <rPr>
        <rFont val="Inter"/>
        <b/>
        <color rgb="FF46BDC6"/>
      </rPr>
      <t>+</t>
    </r>
    <r>
      <rPr>
        <rFont val="Inter"/>
        <color rgb="FF666666"/>
      </rPr>
      <t xml:space="preserve"> "  to unfold them.</t>
    </r>
  </si>
  <si>
    <r>
      <rPr>
        <rFont val="Inter"/>
        <color rgb="FF666666"/>
      </rPr>
      <t xml:space="preserve">Some </t>
    </r>
    <r>
      <rPr>
        <rFont val="Inter"/>
        <b/>
        <color rgb="FF666666"/>
      </rPr>
      <t>grey fields</t>
    </r>
    <r>
      <rPr>
        <rFont val="Inter"/>
        <color rgb="FF666666"/>
      </rPr>
      <t xml:space="preserve"> might be dropdown menus, please </t>
    </r>
    <r>
      <rPr>
        <rFont val="Inter"/>
        <b/>
        <color rgb="FF666666"/>
      </rPr>
      <t>select the cell</t>
    </r>
    <r>
      <rPr>
        <rFont val="Inter"/>
        <color rgb="FF666666"/>
      </rPr>
      <t xml:space="preserve"> and (if applicable) </t>
    </r>
    <r>
      <rPr>
        <rFont val="Inter"/>
        <b/>
        <color rgb="FF666666"/>
      </rPr>
      <t>select one of the dropdown options</t>
    </r>
    <r>
      <rPr>
        <rFont val="Inter"/>
        <color rgb="FF666666"/>
      </rPr>
      <t>.</t>
    </r>
  </si>
  <si>
    <r>
      <rPr>
        <rFont val="Inter"/>
        <color rgb="FF666666"/>
      </rPr>
      <t>There is a section provided at the right to ask questions / leave comments in case of doubt ("</t>
    </r>
    <r>
      <rPr>
        <rFont val="Inter"/>
        <b/>
        <color rgb="FF666666"/>
      </rPr>
      <t>Additional comments of client</t>
    </r>
    <r>
      <rPr>
        <rFont val="Inter"/>
        <color rgb="FF666666"/>
      </rPr>
      <t>").</t>
    </r>
  </si>
  <si>
    <r>
      <rPr>
        <rFont val="Inter"/>
        <color rgb="FF666666"/>
      </rPr>
      <t xml:space="preserve">In case you will start with </t>
    </r>
    <r>
      <rPr>
        <rFont val="Inter"/>
        <b/>
        <color rgb="FF666666"/>
      </rPr>
      <t>multiple</t>
    </r>
    <r>
      <rPr>
        <rFont val="Inter"/>
        <color rgb="FF666666"/>
      </rPr>
      <t xml:space="preserve"> mobility programs, please </t>
    </r>
    <r>
      <rPr>
        <rFont val="Inter"/>
        <b/>
        <color rgb="FF666666"/>
      </rPr>
      <t>complete one mobility program configuration per program</t>
    </r>
    <r>
      <rPr>
        <rFont val="Inter"/>
        <color rgb="FF666666"/>
      </rPr>
      <t>.</t>
    </r>
  </si>
  <si>
    <t>Thank you for taking the time to complete this questionnaire 😊</t>
  </si>
  <si>
    <r>
      <rPr>
        <rFont val="Inter"/>
        <b/>
        <color theme="1"/>
        <sz val="20.0"/>
      </rPr>
      <t>Mobility program configuration</t>
    </r>
    <r>
      <rPr>
        <rFont val="Inter"/>
        <b/>
        <color rgb="FF97E6E6"/>
        <sz val="20.0"/>
      </rPr>
      <t xml:space="preserve"> (1)</t>
    </r>
  </si>
  <si>
    <t>Additional comments of client</t>
  </si>
  <si>
    <t>Additional comments of Skipr</t>
  </si>
  <si>
    <r>
      <rPr>
        <rFont val="Arial"/>
        <b/>
        <color theme="1"/>
      </rPr>
      <t>&lt;&lt;&lt;  unfold</t>
    </r>
    <r>
      <rPr>
        <rFont val="Inter"/>
        <b/>
        <color rgb="FF46BDC6"/>
      </rPr>
      <t xml:space="preserve"> +</t>
    </r>
  </si>
  <si>
    <t>1. Choose a name for the mobility program</t>
  </si>
  <si>
    <t>Mobility program template</t>
  </si>
  <si>
    <t>Please select a template &gt;&gt;&gt;</t>
  </si>
  <si>
    <r>
      <rPr>
        <rFont val="Inter"/>
        <i/>
        <color theme="9"/>
        <sz val="10.0"/>
      </rPr>
      <t xml:space="preserve">A default list of allowed mobilty services is proposed based on the selected mobility program template above, </t>
    </r>
    <r>
      <rPr>
        <rFont val="Inter"/>
        <b/>
        <i/>
        <color theme="9"/>
        <sz val="10.0"/>
      </rPr>
      <t>please customise it in column M</t>
    </r>
  </si>
  <si>
    <r>
      <rPr>
        <rFont val="Arial"/>
        <b/>
        <color theme="1"/>
      </rPr>
      <t>&lt;&lt;&lt;  unfold</t>
    </r>
    <r>
      <rPr>
        <rFont val="Inter"/>
        <b/>
        <color rgb="FF46BDC6"/>
      </rPr>
      <t xml:space="preserve"> +</t>
    </r>
  </si>
  <si>
    <t>2. Allowed mobility services</t>
  </si>
  <si>
    <t>Default</t>
  </si>
  <si>
    <t>Customise</t>
  </si>
  <si>
    <t>B-parking</t>
  </si>
  <si>
    <t>Bike leasing</t>
  </si>
  <si>
    <t>Bike purchase &amp; Accessories</t>
  </si>
  <si>
    <t>Bike rent</t>
  </si>
  <si>
    <t>Bus</t>
  </si>
  <si>
    <t>Car leasing (pillar 1)</t>
  </si>
  <si>
    <t>Car rental</t>
  </si>
  <si>
    <t>Car sharing</t>
  </si>
  <si>
    <t>Carpooling</t>
  </si>
  <si>
    <t>Shared bike</t>
  </si>
  <si>
    <t>Kickscooter</t>
  </si>
  <si>
    <t>Scooter</t>
  </si>
  <si>
    <t>Public parking</t>
  </si>
  <si>
    <t>Public transport tickets</t>
  </si>
  <si>
    <t>Public transport subscriptions</t>
  </si>
  <si>
    <t>Taxi</t>
  </si>
  <si>
    <t>Fuel stations</t>
  </si>
  <si>
    <t>Toll</t>
  </si>
  <si>
    <t>Housing cost</t>
  </si>
  <si>
    <t>If the employee lives within a radius of 10km from the usual place of work</t>
  </si>
  <si>
    <t>If the employee works more than 50% from home</t>
  </si>
  <si>
    <r>
      <rPr>
        <rFont val="Inter"/>
        <color theme="1"/>
        <sz val="10.0"/>
      </rPr>
      <t xml:space="preserve">Bike allowance </t>
    </r>
    <r>
      <rPr>
        <rFont val="Inter"/>
        <i/>
        <color rgb="FF46BDC6"/>
        <sz val="10.0"/>
      </rPr>
      <t>(click on '</t>
    </r>
    <r>
      <rPr>
        <rFont val="Inter"/>
        <b/>
        <i/>
        <color rgb="FF46BDC6"/>
        <sz val="10.0"/>
      </rPr>
      <t>+</t>
    </r>
    <r>
      <rPr>
        <rFont val="Inter"/>
        <i/>
        <color rgb="FF46BDC6"/>
        <sz val="10.0"/>
      </rPr>
      <t>' next to row 60 to configure)</t>
    </r>
  </si>
  <si>
    <t>€/km</t>
  </si>
  <si>
    <t>Max km/ journey</t>
  </si>
  <si>
    <t>Allow employee to manually adapt the automatically proposed distance?</t>
  </si>
  <si>
    <t>Admin validation required for all manually adapted distances?</t>
  </si>
  <si>
    <r>
      <rPr>
        <rFont val="Inter"/>
        <color theme="1"/>
        <sz val="10.0"/>
      </rPr>
      <t>Car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65 to configure)</t>
    </r>
  </si>
  <si>
    <r>
      <rPr>
        <rFont val="Inter"/>
        <color theme="1"/>
        <sz val="10.0"/>
      </rPr>
      <t>Carpooling allowance</t>
    </r>
    <r>
      <rPr>
        <rFont val="Inter"/>
        <color rgb="FF46BDC6"/>
        <sz val="10.0"/>
      </rPr>
      <t xml:space="preserve"> </t>
    </r>
    <r>
      <rPr>
        <rFont val="Inter"/>
        <i/>
        <color rgb="FF46BDC6"/>
        <sz val="10.0"/>
      </rPr>
      <t>(click on '</t>
    </r>
    <r>
      <rPr>
        <rFont val="Inter"/>
        <b/>
        <i/>
        <color rgb="FF46BDC6"/>
        <sz val="10.0"/>
      </rPr>
      <t>+</t>
    </r>
    <r>
      <rPr>
        <rFont val="Inter"/>
        <i/>
        <color rgb="FF46BDC6"/>
        <sz val="10.0"/>
      </rPr>
      <t>' next to row 70 to configure)</t>
    </r>
  </si>
  <si>
    <r>
      <rPr>
        <rFont val="Inter"/>
        <color theme="1"/>
        <sz val="10.0"/>
      </rPr>
      <t>Pedestrian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75 to configure)</t>
    </r>
  </si>
  <si>
    <r>
      <rPr>
        <rFont val="Arial"/>
        <b/>
        <color theme="1"/>
      </rPr>
      <t>&lt;&lt;&lt;  unfold</t>
    </r>
    <r>
      <rPr>
        <rFont val="Inter"/>
        <b/>
        <color rgb="FF46BDC6"/>
      </rPr>
      <t xml:space="preserve"> +</t>
    </r>
  </si>
  <si>
    <t>3. Budget information</t>
  </si>
  <si>
    <r>
      <rPr>
        <rFont val="Inter"/>
        <b val="0"/>
        <color theme="1"/>
        <sz val="12.0"/>
      </rPr>
      <t xml:space="preserve">3.1 </t>
    </r>
    <r>
      <rPr>
        <rFont val="Inter"/>
        <b/>
        <color theme="1"/>
        <sz val="12.0"/>
      </rPr>
      <t>Will there be groups of people with the exact same budgets?</t>
    </r>
  </si>
  <si>
    <t>Yes groups</t>
  </si>
  <si>
    <r>
      <rPr>
        <rFont val="Inter"/>
        <color theme="1"/>
        <sz val="11.0"/>
      </rPr>
      <t xml:space="preserve">👉  In case of </t>
    </r>
    <r>
      <rPr>
        <rFont val="Inter"/>
        <b/>
        <color rgb="FF46BDC6"/>
        <sz val="11.0"/>
      </rPr>
      <t>CUSTOM BUDGETS</t>
    </r>
    <r>
      <rPr>
        <rFont val="Inter"/>
        <color theme="1"/>
        <sz val="11.0"/>
      </rPr>
      <t>, please specify the general budget behaviour hereunder:</t>
    </r>
  </si>
  <si>
    <t>▪️ Group name</t>
  </si>
  <si>
    <t>Only visible to admins</t>
  </si>
  <si>
    <t>N/A (Customised budgets)</t>
  </si>
  <si>
    <t>▪️ Budget top-up amount</t>
  </si>
  <si>
    <t>Amount</t>
  </si>
  <si>
    <t>N/A (Custom budgets)</t>
  </si>
  <si>
    <t>▪️ Budget top-up period</t>
  </si>
  <si>
    <t>Period</t>
  </si>
  <si>
    <t>▪️ Remaining balance behaviour</t>
  </si>
  <si>
    <t>End of top-up period</t>
  </si>
  <si>
    <t>▪️ Budget visibility</t>
  </si>
  <si>
    <t>Hide budget for employee</t>
  </si>
  <si>
    <t xml:space="preserve">▪️ pro rata </t>
  </si>
  <si>
    <t>pro-rated amount for the first budget period</t>
  </si>
  <si>
    <t>▪️ Mobility card</t>
  </si>
  <si>
    <t>Allowed?</t>
  </si>
  <si>
    <t>▪️ Refunds</t>
  </si>
  <si>
    <t xml:space="preserve"> allowed?</t>
  </si>
  <si>
    <r>
      <rPr>
        <rFont val="Inter"/>
        <color theme="1"/>
        <sz val="11.0"/>
      </rPr>
      <t xml:space="preserve">👉  In case of </t>
    </r>
    <r>
      <rPr>
        <rFont val="Inter"/>
        <b/>
        <color rgb="FF46BDC6"/>
        <sz val="11.0"/>
      </rPr>
      <t>GROUPS</t>
    </r>
    <r>
      <rPr>
        <rFont val="Inter"/>
        <color theme="1"/>
        <sz val="11.0"/>
      </rPr>
      <t>, please specify the group budget behaviour hereunder:</t>
    </r>
  </si>
  <si>
    <t>Group name</t>
  </si>
  <si>
    <t>Budget top-up</t>
  </si>
  <si>
    <t>Remaining</t>
  </si>
  <si>
    <t>Hide budget</t>
  </si>
  <si>
    <t>Pro rata</t>
  </si>
  <si>
    <t>Mobility card</t>
  </si>
  <si>
    <t>Refunds</t>
  </si>
  <si>
    <t>amount (€)</t>
  </si>
  <si>
    <t>period</t>
  </si>
  <si>
    <t>budget end of period</t>
  </si>
  <si>
    <t>for the employee</t>
  </si>
  <si>
    <t>First budget top-up</t>
  </si>
  <si>
    <t>allowed?</t>
  </si>
  <si>
    <r>
      <rPr>
        <rFont val="Arial"/>
        <b/>
        <color theme="1"/>
      </rPr>
      <t>&lt;&lt;&lt;  unfold</t>
    </r>
    <r>
      <rPr>
        <rFont val="Inter"/>
        <b/>
        <color rgb="FF46BDC6"/>
      </rPr>
      <t xml:space="preserve"> +</t>
    </r>
  </si>
  <si>
    <t>4. Additional information</t>
  </si>
  <si>
    <r>
      <rPr>
        <rFont val="Inter"/>
        <b val="0"/>
        <color theme="1"/>
        <sz val="12.0"/>
      </rPr>
      <t xml:space="preserve">4.1 </t>
    </r>
    <r>
      <rPr>
        <rFont val="Inter"/>
        <b/>
        <color theme="1"/>
        <sz val="12.0"/>
      </rPr>
      <t>Geographical area</t>
    </r>
  </si>
  <si>
    <t>where can the budget be spent</t>
  </si>
  <si>
    <r>
      <rPr>
        <rFont val="Inter"/>
        <b val="0"/>
        <color theme="1"/>
        <sz val="12.0"/>
      </rPr>
      <t xml:space="preserve">4.2 </t>
    </r>
    <r>
      <rPr>
        <rFont val="Inter"/>
        <b/>
        <color theme="1"/>
        <sz val="12.0"/>
      </rPr>
      <t>Eligibility</t>
    </r>
  </si>
  <si>
    <t>Number of eligible employees</t>
  </si>
  <si>
    <r>
      <rPr>
        <rFont val="Inter"/>
        <b val="0"/>
        <color theme="1"/>
        <sz val="12.0"/>
      </rPr>
      <t xml:space="preserve">4.3 </t>
    </r>
    <r>
      <rPr>
        <rFont val="Inter"/>
        <b/>
        <color theme="1"/>
        <sz val="12.0"/>
      </rPr>
      <t>Starters population</t>
    </r>
  </si>
  <si>
    <t>Estimated number of starters</t>
  </si>
  <si>
    <r>
      <rPr>
        <rFont val="Inter"/>
        <b val="0"/>
        <color theme="1"/>
        <sz val="12.0"/>
      </rPr>
      <t xml:space="preserve">4.4 </t>
    </r>
    <r>
      <rPr>
        <rFont val="Inter"/>
        <b/>
        <color theme="1"/>
        <sz val="12.0"/>
      </rPr>
      <t>Go live</t>
    </r>
    <r>
      <rPr>
        <rFont val="Inter"/>
        <b val="0"/>
        <color theme="1"/>
        <sz val="12.0"/>
      </rPr>
      <t xml:space="preserve"> - </t>
    </r>
    <r>
      <rPr>
        <rFont val="Inter"/>
        <b/>
        <color theme="1"/>
        <sz val="12.0"/>
      </rPr>
      <t>Invitation date</t>
    </r>
  </si>
  <si>
    <t>First active employee accounts (estimation)</t>
  </si>
  <si>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</si>
  <si>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4.5 </t>
    </r>
    <r>
      <rPr>
        <rFont val="Inter"/>
        <b/>
        <color theme="1"/>
        <sz val="12.0"/>
      </rPr>
      <t>Budget start date</t>
    </r>
  </si>
  <si>
    <t>Often on the same day as the GO LIVE</t>
  </si>
  <si>
    <r>
      <rPr>
        <rFont val="Inter"/>
        <color theme="1"/>
        <sz val="10.0"/>
      </rPr>
      <t xml:space="preserve">Format = </t>
    </r>
    <r>
      <rPr>
        <rFont val="Inter"/>
        <b/>
        <color theme="1"/>
        <sz val="10.0"/>
      </rPr>
      <t>DD/MM/YYYY</t>
    </r>
    <r>
      <rPr>
        <rFont val="Inter"/>
        <color theme="1"/>
        <sz val="10.0"/>
      </rPr>
      <t xml:space="preserve">   &gt;</t>
    </r>
  </si>
  <si>
    <t>Determines the moment the first employee(s) become eligible and their budget top-up starts</t>
  </si>
  <si>
    <r>
      <rPr>
        <rFont val="Inter"/>
        <b val="0"/>
        <color theme="1"/>
        <sz val="12.0"/>
      </rPr>
      <t xml:space="preserve">4.6 </t>
    </r>
    <r>
      <rPr>
        <rFont val="Inter"/>
        <b/>
        <color theme="1"/>
        <sz val="12.0"/>
      </rPr>
      <t>Reimbursements private card expenses</t>
    </r>
  </si>
  <si>
    <t>Can employees ask for refunds for the selected services</t>
  </si>
  <si>
    <t>If yes, the proof attached to the refunds are checked by ...</t>
  </si>
  <si>
    <t>If yes, but only on some services, please specify hereunder.</t>
  </si>
  <si>
    <r>
      <rPr>
        <rFont val="Inter"/>
        <b val="0"/>
        <color theme="1"/>
        <sz val="12.0"/>
      </rPr>
      <t xml:space="preserve">4.7 </t>
    </r>
    <r>
      <rPr>
        <rFont val="Inter"/>
        <b/>
        <color theme="1"/>
        <sz val="12.0"/>
      </rPr>
      <t>Mobility payment cards</t>
    </r>
  </si>
  <si>
    <t>Will your employees in this program benefit from a physical mobility card</t>
  </si>
  <si>
    <r>
      <rPr>
        <rFont val="Inter"/>
        <b val="0"/>
        <color theme="1"/>
        <sz val="12.0"/>
      </rPr>
      <t xml:space="preserve">4.8 </t>
    </r>
    <r>
      <rPr>
        <rFont val="Inter"/>
        <b/>
        <color theme="1"/>
        <sz val="12.0"/>
      </rPr>
      <t>Declaration of honor</t>
    </r>
  </si>
  <si>
    <t>Add a declaration of honor your employees have to read and accept the first time connecting</t>
  </si>
  <si>
    <t>If yes, please contact your CSM to receive a standard "Federal Mobility Budget - Declaration of Honor"</t>
  </si>
  <si>
    <t>customise it to your liking and forward it back to them.</t>
  </si>
  <si>
    <r>
      <rPr>
        <rFont val="Inter"/>
        <color rgb="FF666666"/>
      </rPr>
      <t xml:space="preserve">In case you will start with </t>
    </r>
    <r>
      <rPr>
        <rFont val="Inter"/>
        <b/>
        <color rgb="FF666666"/>
      </rPr>
      <t>multiple</t>
    </r>
    <r>
      <rPr>
        <rFont val="Inter"/>
        <color rgb="FF666666"/>
      </rPr>
      <t xml:space="preserve"> mobility programs, please </t>
    </r>
    <r>
      <rPr>
        <rFont val="Inter"/>
        <b/>
        <color rgb="FF666666"/>
      </rPr>
      <t>complete one mobility program configuration per program</t>
    </r>
    <r>
      <rPr>
        <rFont val="Inter"/>
        <color rgb="FF666666"/>
      </rPr>
      <t>.</t>
    </r>
  </si>
  <si>
    <t>In case groups of employees will get access to multiple mobility programs, please use the same group name as mentioned in the previous mobility program.</t>
  </si>
  <si>
    <r>
      <rPr>
        <rFont val="Inter"/>
        <b/>
        <color theme="1"/>
        <sz val="20.0"/>
      </rPr>
      <t>Mobility program configuration</t>
    </r>
    <r>
      <rPr>
        <rFont val="Inter"/>
        <b/>
        <color rgb="FF97E6E6"/>
        <sz val="20.0"/>
      </rPr>
      <t xml:space="preserve"> (2)</t>
    </r>
  </si>
  <si>
    <r>
      <rPr>
        <rFont val="Arial"/>
        <b/>
        <color theme="1"/>
      </rPr>
      <t>&lt;&lt;&lt;  unfold</t>
    </r>
    <r>
      <rPr>
        <rFont val="Inter"/>
        <b/>
        <color rgb="FF46BDC6"/>
      </rPr>
      <t xml:space="preserve"> +</t>
    </r>
  </si>
  <si>
    <r>
      <rPr>
        <rFont val="Inter"/>
        <i/>
        <color rgb="FF46BDC6"/>
        <sz val="10.0"/>
      </rPr>
      <t xml:space="preserve">A default list of allowed mobilty services is proposed based on the selected mobility program template above, </t>
    </r>
    <r>
      <rPr>
        <rFont val="Inter"/>
        <b/>
        <i/>
        <color rgb="FF46BDC6"/>
        <sz val="10.0"/>
      </rPr>
      <t>please customise it in column M</t>
    </r>
  </si>
  <si>
    <r>
      <rPr>
        <rFont val="Arial"/>
        <b/>
        <color theme="1"/>
      </rPr>
      <t>&lt;&lt;&lt;  unfold</t>
    </r>
    <r>
      <rPr>
        <rFont val="Inter"/>
        <b/>
        <color rgb="FF46BDC6"/>
      </rPr>
      <t xml:space="preserve"> +</t>
    </r>
  </si>
  <si>
    <r>
      <rPr>
        <rFont val="Inter"/>
        <color theme="1"/>
        <sz val="10.0"/>
      </rPr>
      <t xml:space="preserve">Bike allowance </t>
    </r>
    <r>
      <rPr>
        <rFont val="Inter"/>
        <i/>
        <color rgb="FF46BDC6"/>
        <sz val="10.0"/>
      </rPr>
      <t>(click on '</t>
    </r>
    <r>
      <rPr>
        <rFont val="Inter"/>
        <b/>
        <i/>
        <color rgb="FF46BDC6"/>
        <sz val="10.0"/>
      </rPr>
      <t>+</t>
    </r>
    <r>
      <rPr>
        <rFont val="Inter"/>
        <i/>
        <color rgb="FF46BDC6"/>
        <sz val="10.0"/>
      </rPr>
      <t>' next to row 154 to configure)</t>
    </r>
  </si>
  <si>
    <r>
      <rPr>
        <rFont val="Inter"/>
        <color theme="1"/>
        <sz val="10.0"/>
      </rPr>
      <t>Car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159 to configure)</t>
    </r>
  </si>
  <si>
    <r>
      <rPr>
        <rFont val="Inter"/>
        <color theme="1"/>
        <sz val="10.0"/>
      </rPr>
      <t>Carpooling allowance</t>
    </r>
    <r>
      <rPr>
        <rFont val="Inter"/>
        <color rgb="FF46BDC6"/>
        <sz val="10.0"/>
      </rPr>
      <t xml:space="preserve"> </t>
    </r>
    <r>
      <rPr>
        <rFont val="Inter"/>
        <i/>
        <color rgb="FF46BDC6"/>
        <sz val="10.0"/>
      </rPr>
      <t>(click on '</t>
    </r>
    <r>
      <rPr>
        <rFont val="Inter"/>
        <b/>
        <i/>
        <color rgb="FF46BDC6"/>
        <sz val="10.0"/>
      </rPr>
      <t>+</t>
    </r>
    <r>
      <rPr>
        <rFont val="Inter"/>
        <i/>
        <color rgb="FF46BDC6"/>
        <sz val="10.0"/>
      </rPr>
      <t>' next to row 164 to configure)</t>
    </r>
  </si>
  <si>
    <r>
      <rPr>
        <rFont val="Inter"/>
        <color theme="1"/>
        <sz val="10.0"/>
      </rPr>
      <t>Pedestrian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169 to configure)</t>
    </r>
  </si>
  <si>
    <r>
      <rPr>
        <rFont val="Arial"/>
        <b/>
        <color theme="1"/>
      </rPr>
      <t>&lt;&lt;&lt;  unfold</t>
    </r>
    <r>
      <rPr>
        <rFont val="Inter"/>
        <b/>
        <color rgb="FF46BDC6"/>
      </rPr>
      <t xml:space="preserve"> +</t>
    </r>
  </si>
  <si>
    <r>
      <rPr>
        <rFont val="Inter"/>
        <b val="0"/>
        <color theme="1"/>
        <sz val="12.0"/>
      </rPr>
      <t xml:space="preserve">3.1 </t>
    </r>
    <r>
      <rPr>
        <rFont val="Inter"/>
        <b/>
        <color theme="1"/>
        <sz val="12.0"/>
      </rPr>
      <t>Will there be groups of people with the exact same budgets?</t>
    </r>
  </si>
  <si>
    <r>
      <rPr>
        <rFont val="Inter"/>
        <color theme="1"/>
        <sz val="11.0"/>
      </rPr>
      <t xml:space="preserve">👉  In case of </t>
    </r>
    <r>
      <rPr>
        <rFont val="Inter"/>
        <b/>
        <color rgb="FF46BDC6"/>
        <sz val="11.0"/>
      </rPr>
      <t>CUSTOM BUDGETS</t>
    </r>
    <r>
      <rPr>
        <rFont val="Inter"/>
        <color theme="1"/>
        <sz val="11.0"/>
      </rPr>
      <t>, please specify the general budget behaviour hereunder:</t>
    </r>
  </si>
  <si>
    <r>
      <rPr>
        <rFont val="Inter"/>
        <color theme="1"/>
        <sz val="11.0"/>
      </rPr>
      <t xml:space="preserve">👉  In case of </t>
    </r>
    <r>
      <rPr>
        <rFont val="Inter"/>
        <b/>
        <color rgb="FF46BDC6"/>
        <sz val="11.0"/>
      </rPr>
      <t>GROUPS</t>
    </r>
    <r>
      <rPr>
        <rFont val="Inter"/>
        <color theme="1"/>
        <sz val="11.0"/>
      </rPr>
      <t>, please specify the group budget behaviour hereunder:</t>
    </r>
  </si>
  <si>
    <r>
      <rPr>
        <rFont val="Arial"/>
        <b/>
        <color theme="1"/>
      </rPr>
      <t>&lt;&lt;&lt;  unfold</t>
    </r>
    <r>
      <rPr>
        <rFont val="Inter"/>
        <b/>
        <color rgb="FF46BDC6"/>
      </rPr>
      <t xml:space="preserve"> +</t>
    </r>
  </si>
  <si>
    <r>
      <rPr>
        <rFont val="Inter"/>
        <b val="0"/>
        <color theme="1"/>
        <sz val="12.0"/>
      </rPr>
      <t xml:space="preserve">4.1 </t>
    </r>
    <r>
      <rPr>
        <rFont val="Inter"/>
        <b/>
        <color theme="1"/>
        <sz val="12.0"/>
      </rPr>
      <t>Geographical area</t>
    </r>
  </si>
  <si>
    <r>
      <rPr>
        <rFont val="Inter"/>
        <b val="0"/>
        <color theme="1"/>
        <sz val="12.0"/>
      </rPr>
      <t xml:space="preserve">4.2 </t>
    </r>
    <r>
      <rPr>
        <rFont val="Inter"/>
        <b/>
        <color theme="1"/>
        <sz val="12.0"/>
      </rPr>
      <t>Eligibility</t>
    </r>
  </si>
  <si>
    <r>
      <rPr>
        <rFont val="Inter"/>
        <b val="0"/>
        <color theme="1"/>
        <sz val="12.0"/>
      </rPr>
      <t xml:space="preserve">4.3 </t>
    </r>
    <r>
      <rPr>
        <rFont val="Inter"/>
        <b/>
        <color theme="1"/>
        <sz val="12.0"/>
      </rPr>
      <t>Starters population</t>
    </r>
  </si>
  <si>
    <r>
      <rPr>
        <rFont val="Inter"/>
        <b val="0"/>
        <color theme="1"/>
        <sz val="12.0"/>
      </rPr>
      <t xml:space="preserve">4.4 </t>
    </r>
    <r>
      <rPr>
        <rFont val="Inter"/>
        <b/>
        <color theme="1"/>
        <sz val="12.0"/>
      </rPr>
      <t>Go live</t>
    </r>
    <r>
      <rPr>
        <rFont val="Inter"/>
        <b val="0"/>
        <color theme="1"/>
        <sz val="12.0"/>
      </rPr>
      <t xml:space="preserve"> - </t>
    </r>
    <r>
      <rPr>
        <rFont val="Inter"/>
        <b/>
        <color theme="1"/>
        <sz val="12.0"/>
      </rPr>
      <t>Invitation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</si>
  <si>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</si>
  <si>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4.5 </t>
    </r>
    <r>
      <rPr>
        <rFont val="Inter"/>
        <b/>
        <color theme="1"/>
        <sz val="12.0"/>
      </rPr>
      <t>Budget start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</si>
  <si>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</si>
  <si>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4.6 </t>
    </r>
    <r>
      <rPr>
        <rFont val="Inter"/>
        <b/>
        <color theme="1"/>
        <sz val="12.0"/>
      </rPr>
      <t>Reimbursements private card expenses</t>
    </r>
  </si>
  <si>
    <r>
      <rPr>
        <rFont val="Inter"/>
        <b val="0"/>
        <color theme="1"/>
        <sz val="12.0"/>
      </rPr>
      <t xml:space="preserve">4.7 </t>
    </r>
    <r>
      <rPr>
        <rFont val="Inter"/>
        <b/>
        <color theme="1"/>
        <sz val="12.0"/>
      </rPr>
      <t>Mobility payment cards</t>
    </r>
  </si>
  <si>
    <r>
      <rPr>
        <rFont val="Inter"/>
        <b val="0"/>
        <color theme="1"/>
        <sz val="12.0"/>
      </rPr>
      <t xml:space="preserve">4.8 </t>
    </r>
    <r>
      <rPr>
        <rFont val="Inter"/>
        <b/>
        <color theme="1"/>
        <sz val="12.0"/>
      </rPr>
      <t>Declaration of honor</t>
    </r>
  </si>
  <si>
    <r>
      <rPr>
        <rFont val="Inter"/>
        <color rgb="FF666666"/>
      </rPr>
      <t xml:space="preserve">In case you will start with </t>
    </r>
    <r>
      <rPr>
        <rFont val="Inter"/>
        <b/>
        <color rgb="FF666666"/>
      </rPr>
      <t>multiple</t>
    </r>
    <r>
      <rPr>
        <rFont val="Inter"/>
        <color rgb="FF666666"/>
      </rPr>
      <t xml:space="preserve"> mobility programs, please </t>
    </r>
    <r>
      <rPr>
        <rFont val="Inter"/>
        <b/>
        <color rgb="FF666666"/>
      </rPr>
      <t>complete one mobility program configuration per program</t>
    </r>
    <r>
      <rPr>
        <rFont val="Inter"/>
        <color rgb="FF666666"/>
      </rPr>
      <t>.</t>
    </r>
  </si>
  <si>
    <r>
      <rPr>
        <rFont val="Inter"/>
        <b/>
        <color theme="1"/>
        <sz val="20.0"/>
      </rPr>
      <t xml:space="preserve">Mobility program configuration </t>
    </r>
    <r>
      <rPr>
        <rFont val="Inter"/>
        <b/>
        <color rgb="FF97E6E6"/>
        <sz val="20.0"/>
      </rPr>
      <t>(3)</t>
    </r>
  </si>
  <si>
    <r>
      <rPr>
        <rFont val="Arial"/>
        <b/>
        <color theme="1"/>
      </rPr>
      <t>&lt;&lt;&lt;  unfold</t>
    </r>
    <r>
      <rPr>
        <rFont val="Inter"/>
        <b/>
        <color rgb="FF46BDC6"/>
      </rPr>
      <t xml:space="preserve"> +</t>
    </r>
  </si>
  <si>
    <r>
      <rPr>
        <rFont val="Inter"/>
        <i/>
        <color theme="9"/>
        <sz val="10.0"/>
      </rPr>
      <t xml:space="preserve">A default list of allowed mobilty services is proposed based on the selected mobility program template above, </t>
    </r>
    <r>
      <rPr>
        <rFont val="Inter"/>
        <b/>
        <i/>
        <color theme="9"/>
        <sz val="10.0"/>
      </rPr>
      <t>please customise it in column M</t>
    </r>
  </si>
  <si>
    <r>
      <rPr>
        <rFont val="Arial"/>
        <b/>
        <color theme="1"/>
      </rPr>
      <t>&lt;&lt;&lt;  unfold</t>
    </r>
    <r>
      <rPr>
        <rFont val="Inter"/>
        <b/>
        <color rgb="FF46BDC6"/>
      </rPr>
      <t xml:space="preserve"> +</t>
    </r>
  </si>
  <si>
    <r>
      <rPr>
        <rFont val="Inter"/>
        <color theme="1"/>
        <sz val="10.0"/>
      </rPr>
      <t xml:space="preserve">Bike allowance </t>
    </r>
    <r>
      <rPr>
        <rFont val="Inter"/>
        <i/>
        <color rgb="FF46BDC6"/>
        <sz val="10.0"/>
      </rPr>
      <t>(click on '</t>
    </r>
    <r>
      <rPr>
        <rFont val="Inter"/>
        <b/>
        <i/>
        <color rgb="FF46BDC6"/>
        <sz val="10.0"/>
      </rPr>
      <t>+</t>
    </r>
    <r>
      <rPr>
        <rFont val="Inter"/>
        <i/>
        <color rgb="FF46BDC6"/>
        <sz val="10.0"/>
      </rPr>
      <t>' next to row 248 to configure)</t>
    </r>
  </si>
  <si>
    <r>
      <rPr>
        <rFont val="Inter"/>
        <color theme="1"/>
        <sz val="10.0"/>
      </rPr>
      <t>Car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253 to configure)</t>
    </r>
  </si>
  <si>
    <r>
      <rPr>
        <rFont val="Inter"/>
        <color theme="1"/>
        <sz val="10.0"/>
      </rPr>
      <t>Carpooling allowance</t>
    </r>
    <r>
      <rPr>
        <rFont val="Inter"/>
        <color rgb="FF46BDC6"/>
        <sz val="10.0"/>
      </rPr>
      <t xml:space="preserve"> </t>
    </r>
    <r>
      <rPr>
        <rFont val="Inter"/>
        <i/>
        <color rgb="FF46BDC6"/>
        <sz val="10.0"/>
      </rPr>
      <t>(click on '</t>
    </r>
    <r>
      <rPr>
        <rFont val="Inter"/>
        <b/>
        <i/>
        <color rgb="FF46BDC6"/>
        <sz val="10.0"/>
      </rPr>
      <t>+</t>
    </r>
    <r>
      <rPr>
        <rFont val="Inter"/>
        <i/>
        <color rgb="FF46BDC6"/>
        <sz val="10.0"/>
      </rPr>
      <t>' next to row 258 to configure)</t>
    </r>
  </si>
  <si>
    <r>
      <rPr>
        <rFont val="Inter"/>
        <color theme="1"/>
        <sz val="10.0"/>
      </rPr>
      <t>Pedestrian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263 to configure)</t>
    </r>
  </si>
  <si>
    <r>
      <rPr>
        <rFont val="Arial"/>
        <b/>
        <color theme="1"/>
      </rPr>
      <t>&lt;&lt;&lt;  unfold</t>
    </r>
    <r>
      <rPr>
        <rFont val="Inter"/>
        <b/>
        <color rgb="FF46BDC6"/>
      </rPr>
      <t xml:space="preserve"> +</t>
    </r>
  </si>
  <si>
    <r>
      <rPr>
        <rFont val="Inter"/>
        <b val="0"/>
        <color theme="1"/>
        <sz val="12.0"/>
      </rPr>
      <t xml:space="preserve">3.1 </t>
    </r>
    <r>
      <rPr>
        <rFont val="Inter"/>
        <b/>
        <color theme="1"/>
        <sz val="12.0"/>
      </rPr>
      <t>Will there be groups of people with the exact same budgets?</t>
    </r>
  </si>
  <si>
    <r>
      <rPr>
        <rFont val="Inter"/>
        <color theme="1"/>
        <sz val="11.0"/>
      </rPr>
      <t xml:space="preserve">👉  In case of </t>
    </r>
    <r>
      <rPr>
        <rFont val="Inter"/>
        <b/>
        <color rgb="FF46BDC6"/>
        <sz val="11.0"/>
      </rPr>
      <t>CUSTOM BUDGETS</t>
    </r>
    <r>
      <rPr>
        <rFont val="Inter"/>
        <color theme="1"/>
        <sz val="11.0"/>
      </rPr>
      <t>, please specify the general budget behaviour hereunder:</t>
    </r>
  </si>
  <si>
    <r>
      <rPr>
        <rFont val="Inter"/>
        <color theme="1"/>
        <sz val="11.0"/>
      </rPr>
      <t xml:space="preserve">👉  In case of </t>
    </r>
    <r>
      <rPr>
        <rFont val="Inter"/>
        <b/>
        <color rgb="FF46BDC6"/>
        <sz val="11.0"/>
      </rPr>
      <t>GROUPS</t>
    </r>
    <r>
      <rPr>
        <rFont val="Inter"/>
        <color theme="1"/>
        <sz val="11.0"/>
      </rPr>
      <t>, please specify the group budget behaviour hereunder:</t>
    </r>
  </si>
  <si>
    <r>
      <rPr>
        <rFont val="Arial"/>
        <b/>
        <color theme="1"/>
      </rPr>
      <t>&lt;&lt;&lt;  unfold</t>
    </r>
    <r>
      <rPr>
        <rFont val="Inter"/>
        <b/>
        <color rgb="FF46BDC6"/>
      </rPr>
      <t xml:space="preserve"> +</t>
    </r>
  </si>
  <si>
    <r>
      <rPr>
        <rFont val="Inter"/>
        <b val="0"/>
        <color theme="1"/>
        <sz val="12.0"/>
      </rPr>
      <t xml:space="preserve">4.1 </t>
    </r>
    <r>
      <rPr>
        <rFont val="Inter"/>
        <b/>
        <color theme="1"/>
        <sz val="12.0"/>
      </rPr>
      <t>Geographical area</t>
    </r>
  </si>
  <si>
    <r>
      <rPr>
        <rFont val="Inter"/>
        <b val="0"/>
        <color theme="1"/>
        <sz val="12.0"/>
      </rPr>
      <t xml:space="preserve">4.2 </t>
    </r>
    <r>
      <rPr>
        <rFont val="Inter"/>
        <b/>
        <color theme="1"/>
        <sz val="12.0"/>
      </rPr>
      <t>Eligibility</t>
    </r>
  </si>
  <si>
    <r>
      <rPr>
        <rFont val="Inter"/>
        <b val="0"/>
        <color theme="1"/>
        <sz val="12.0"/>
      </rPr>
      <t xml:space="preserve">4.3 </t>
    </r>
    <r>
      <rPr>
        <rFont val="Inter"/>
        <b/>
        <color theme="1"/>
        <sz val="12.0"/>
      </rPr>
      <t>Starters population</t>
    </r>
  </si>
  <si>
    <r>
      <rPr>
        <rFont val="Inter"/>
        <b val="0"/>
        <color theme="1"/>
        <sz val="12.0"/>
      </rPr>
      <t xml:space="preserve">4.4 </t>
    </r>
    <r>
      <rPr>
        <rFont val="Inter"/>
        <b/>
        <color theme="1"/>
        <sz val="12.0"/>
      </rPr>
      <t>Go live</t>
    </r>
    <r>
      <rPr>
        <rFont val="Inter"/>
        <b val="0"/>
        <color theme="1"/>
        <sz val="12.0"/>
      </rPr>
      <t xml:space="preserve"> - </t>
    </r>
    <r>
      <rPr>
        <rFont val="Inter"/>
        <b/>
        <color theme="1"/>
        <sz val="12.0"/>
      </rPr>
      <t>Invitation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</si>
  <si>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</si>
  <si>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4.5 </t>
    </r>
    <r>
      <rPr>
        <rFont val="Inter"/>
        <b/>
        <color theme="1"/>
        <sz val="12.0"/>
      </rPr>
      <t>Budget start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</si>
  <si>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</si>
  <si>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4.6 </t>
    </r>
    <r>
      <rPr>
        <rFont val="Inter"/>
        <b/>
        <color theme="1"/>
        <sz val="12.0"/>
      </rPr>
      <t>Reimbursements private card expenses</t>
    </r>
  </si>
  <si>
    <r>
      <rPr>
        <rFont val="Inter"/>
        <b val="0"/>
        <color theme="1"/>
        <sz val="12.0"/>
      </rPr>
      <t xml:space="preserve">4.7 </t>
    </r>
    <r>
      <rPr>
        <rFont val="Inter"/>
        <b/>
        <color theme="1"/>
        <sz val="12.0"/>
      </rPr>
      <t>Mobility payment cards</t>
    </r>
  </si>
  <si>
    <r>
      <rPr>
        <rFont val="Inter"/>
        <b val="0"/>
        <color theme="1"/>
        <sz val="12.0"/>
      </rPr>
      <t xml:space="preserve">4.8 </t>
    </r>
    <r>
      <rPr>
        <rFont val="Inter"/>
        <b/>
        <color theme="1"/>
        <sz val="12.0"/>
      </rPr>
      <t>Declaration of honor</t>
    </r>
  </si>
  <si>
    <r>
      <rPr>
        <rFont val="Inter"/>
        <color rgb="FF666666"/>
      </rPr>
      <t xml:space="preserve">In case you will start with </t>
    </r>
    <r>
      <rPr>
        <rFont val="Inter"/>
        <b/>
        <color rgb="FF666666"/>
      </rPr>
      <t>multiple</t>
    </r>
    <r>
      <rPr>
        <rFont val="Inter"/>
        <color rgb="FF666666"/>
      </rPr>
      <t xml:space="preserve"> mobility programs, please </t>
    </r>
    <r>
      <rPr>
        <rFont val="Inter"/>
        <b/>
        <color rgb="FF666666"/>
      </rPr>
      <t>complete one mobility program configuration per program</t>
    </r>
    <r>
      <rPr>
        <rFont val="Inter"/>
        <color rgb="FF666666"/>
      </rPr>
      <t>.</t>
    </r>
  </si>
  <si>
    <r>
      <rPr>
        <rFont val="Inter"/>
        <b/>
        <color theme="1"/>
        <sz val="20.0"/>
      </rPr>
      <t>Mobility program configuration</t>
    </r>
    <r>
      <rPr>
        <rFont val="Inter"/>
        <b/>
        <color rgb="FF97E6E6"/>
        <sz val="20.0"/>
      </rPr>
      <t xml:space="preserve"> (4)</t>
    </r>
  </si>
  <si>
    <r>
      <rPr>
        <rFont val="Arial"/>
        <b/>
        <color theme="1"/>
      </rPr>
      <t>&lt;&lt;&lt;  unfold</t>
    </r>
    <r>
      <rPr>
        <rFont val="Inter"/>
        <b/>
        <color rgb="FF46BDC6"/>
      </rPr>
      <t xml:space="preserve"> +</t>
    </r>
  </si>
  <si>
    <r>
      <rPr>
        <rFont val="Inter"/>
        <i/>
        <color rgb="FF46BDC6"/>
        <sz val="10.0"/>
      </rPr>
      <t xml:space="preserve">A default list of allowed mobilty services is proposed based on the selected mobility program template above, </t>
    </r>
    <r>
      <rPr>
        <rFont val="Inter"/>
        <b/>
        <i/>
        <color rgb="FF46BDC6"/>
        <sz val="10.0"/>
      </rPr>
      <t>please customise it in column M</t>
    </r>
  </si>
  <si>
    <r>
      <rPr>
        <rFont val="Arial"/>
        <b/>
        <color theme="1"/>
      </rPr>
      <t>&lt;&lt;&lt;  unfold</t>
    </r>
    <r>
      <rPr>
        <rFont val="Inter"/>
        <b/>
        <color rgb="FF46BDC6"/>
      </rPr>
      <t xml:space="preserve"> +</t>
    </r>
  </si>
  <si>
    <r>
      <rPr>
        <rFont val="Inter"/>
        <color theme="1"/>
        <sz val="10.0"/>
      </rPr>
      <t xml:space="preserve">Bike allowance </t>
    </r>
    <r>
      <rPr>
        <rFont val="Inter"/>
        <i/>
        <color rgb="FF46BDC6"/>
        <sz val="10.0"/>
      </rPr>
      <t>(click on '</t>
    </r>
    <r>
      <rPr>
        <rFont val="Inter"/>
        <b/>
        <i/>
        <color rgb="FF46BDC6"/>
        <sz val="10.0"/>
      </rPr>
      <t>+</t>
    </r>
    <r>
      <rPr>
        <rFont val="Inter"/>
        <i/>
        <color rgb="FF46BDC6"/>
        <sz val="10.0"/>
      </rPr>
      <t>' next to row 342 to configure)</t>
    </r>
  </si>
  <si>
    <r>
      <rPr>
        <rFont val="Inter"/>
        <color theme="1"/>
        <sz val="10.0"/>
      </rPr>
      <t>Car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347 to configure)</t>
    </r>
  </si>
  <si>
    <r>
      <rPr>
        <rFont val="Inter"/>
        <color theme="1"/>
        <sz val="10.0"/>
      </rPr>
      <t>Carpooling allowance</t>
    </r>
    <r>
      <rPr>
        <rFont val="Inter"/>
        <color rgb="FF46BDC6"/>
        <sz val="10.0"/>
      </rPr>
      <t xml:space="preserve"> </t>
    </r>
    <r>
      <rPr>
        <rFont val="Inter"/>
        <i/>
        <color rgb="FF46BDC6"/>
        <sz val="10.0"/>
      </rPr>
      <t>(click on '</t>
    </r>
    <r>
      <rPr>
        <rFont val="Inter"/>
        <b/>
        <i/>
        <color rgb="FF46BDC6"/>
        <sz val="10.0"/>
      </rPr>
      <t>+</t>
    </r>
    <r>
      <rPr>
        <rFont val="Inter"/>
        <i/>
        <color rgb="FF46BDC6"/>
        <sz val="10.0"/>
      </rPr>
      <t>' next to row 352 to configure)</t>
    </r>
  </si>
  <si>
    <r>
      <rPr>
        <rFont val="Inter"/>
        <color theme="1"/>
        <sz val="10.0"/>
      </rPr>
      <t>Pedestrian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357 to configure)</t>
    </r>
  </si>
  <si>
    <r>
      <rPr>
        <rFont val="Arial"/>
        <b/>
        <color theme="1"/>
      </rPr>
      <t>&lt;&lt;&lt;  unfold</t>
    </r>
    <r>
      <rPr>
        <rFont val="Inter"/>
        <b/>
        <color rgb="FF46BDC6"/>
      </rPr>
      <t xml:space="preserve"> +</t>
    </r>
  </si>
  <si>
    <r>
      <rPr>
        <rFont val="Inter"/>
        <b val="0"/>
        <color theme="1"/>
        <sz val="12.0"/>
      </rPr>
      <t xml:space="preserve">3.1 </t>
    </r>
    <r>
      <rPr>
        <rFont val="Inter"/>
        <b/>
        <color theme="1"/>
        <sz val="12.0"/>
      </rPr>
      <t>Will there be groups of people with the exact same budgets?</t>
    </r>
  </si>
  <si>
    <r>
      <rPr>
        <rFont val="Inter"/>
        <color theme="1"/>
        <sz val="11.0"/>
      </rPr>
      <t xml:space="preserve">👉  In case of </t>
    </r>
    <r>
      <rPr>
        <rFont val="Inter"/>
        <b/>
        <color rgb="FF46BDC6"/>
        <sz val="11.0"/>
      </rPr>
      <t>CUSTOM BUDGETS</t>
    </r>
    <r>
      <rPr>
        <rFont val="Inter"/>
        <color theme="1"/>
        <sz val="11.0"/>
      </rPr>
      <t>, please specify the general budget behaviour hereunder:</t>
    </r>
  </si>
  <si>
    <r>
      <rPr>
        <rFont val="Inter"/>
        <color theme="1"/>
        <sz val="11.0"/>
      </rPr>
      <t xml:space="preserve">👉  In case of </t>
    </r>
    <r>
      <rPr>
        <rFont val="Inter"/>
        <b/>
        <color rgb="FF46BDC6"/>
        <sz val="11.0"/>
      </rPr>
      <t>GROUPS</t>
    </r>
    <r>
      <rPr>
        <rFont val="Inter"/>
        <color theme="1"/>
        <sz val="11.0"/>
      </rPr>
      <t>, please specify the group budget behaviour hereunder:</t>
    </r>
  </si>
  <si>
    <r>
      <rPr>
        <rFont val="Arial"/>
        <b/>
        <color theme="1"/>
      </rPr>
      <t>&lt;&lt;&lt;  unfold</t>
    </r>
    <r>
      <rPr>
        <rFont val="Inter"/>
        <b/>
        <color rgb="FF46BDC6"/>
      </rPr>
      <t xml:space="preserve"> +</t>
    </r>
  </si>
  <si>
    <r>
      <rPr>
        <rFont val="Inter"/>
        <b val="0"/>
        <color theme="1"/>
        <sz val="12.0"/>
      </rPr>
      <t xml:space="preserve">4.1 </t>
    </r>
    <r>
      <rPr>
        <rFont val="Inter"/>
        <b/>
        <color theme="1"/>
        <sz val="12.0"/>
      </rPr>
      <t>Geographical area</t>
    </r>
  </si>
  <si>
    <r>
      <rPr>
        <rFont val="Inter"/>
        <b val="0"/>
        <color theme="1"/>
        <sz val="12.0"/>
      </rPr>
      <t xml:space="preserve">4.2 </t>
    </r>
    <r>
      <rPr>
        <rFont val="Inter"/>
        <b/>
        <color theme="1"/>
        <sz val="12.0"/>
      </rPr>
      <t>Eligibility</t>
    </r>
  </si>
  <si>
    <r>
      <rPr>
        <rFont val="Inter"/>
        <b val="0"/>
        <color theme="1"/>
        <sz val="12.0"/>
      </rPr>
      <t xml:space="preserve">4.3 </t>
    </r>
    <r>
      <rPr>
        <rFont val="Inter"/>
        <b/>
        <color theme="1"/>
        <sz val="12.0"/>
      </rPr>
      <t>Starters population</t>
    </r>
  </si>
  <si>
    <r>
      <rPr>
        <rFont val="Inter"/>
        <b val="0"/>
        <color theme="1"/>
        <sz val="12.0"/>
      </rPr>
      <t xml:space="preserve">4.4 </t>
    </r>
    <r>
      <rPr>
        <rFont val="Inter"/>
        <b/>
        <color theme="1"/>
        <sz val="12.0"/>
      </rPr>
      <t>Go live</t>
    </r>
    <r>
      <rPr>
        <rFont val="Inter"/>
        <b val="0"/>
        <color theme="1"/>
        <sz val="12.0"/>
      </rPr>
      <t xml:space="preserve"> - </t>
    </r>
    <r>
      <rPr>
        <rFont val="Inter"/>
        <b/>
        <color theme="1"/>
        <sz val="12.0"/>
      </rPr>
      <t>Invitation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</si>
  <si>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</si>
  <si>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4.5 </t>
    </r>
    <r>
      <rPr>
        <rFont val="Inter"/>
        <b/>
        <color theme="1"/>
        <sz val="12.0"/>
      </rPr>
      <t>Budget start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</si>
  <si>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</si>
  <si>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4.6 </t>
    </r>
    <r>
      <rPr>
        <rFont val="Inter"/>
        <b/>
        <color theme="1"/>
        <sz val="12.0"/>
      </rPr>
      <t>Reimbursements private card expenses</t>
    </r>
  </si>
  <si>
    <r>
      <rPr>
        <rFont val="Inter"/>
        <b val="0"/>
        <color theme="1"/>
        <sz val="12.0"/>
      </rPr>
      <t xml:space="preserve">4.7 </t>
    </r>
    <r>
      <rPr>
        <rFont val="Inter"/>
        <b/>
        <color theme="1"/>
        <sz val="12.0"/>
      </rPr>
      <t>Mobility payment cards</t>
    </r>
  </si>
  <si>
    <r>
      <rPr>
        <rFont val="Inter"/>
        <b val="0"/>
        <color theme="1"/>
        <sz val="12.0"/>
      </rPr>
      <t xml:space="preserve">4.8 </t>
    </r>
    <r>
      <rPr>
        <rFont val="Inter"/>
        <b/>
        <color theme="1"/>
        <sz val="12.0"/>
      </rPr>
      <t>Declaration of honor</t>
    </r>
  </si>
  <si>
    <r>
      <rPr>
        <rFont val="Inter"/>
        <color rgb="FF666666"/>
      </rPr>
      <t xml:space="preserve">In case you will start with </t>
    </r>
    <r>
      <rPr>
        <rFont val="Inter"/>
        <b/>
        <color rgb="FF666666"/>
      </rPr>
      <t>multiple</t>
    </r>
    <r>
      <rPr>
        <rFont val="Inter"/>
        <color rgb="FF666666"/>
      </rPr>
      <t xml:space="preserve"> mobility programs, please </t>
    </r>
    <r>
      <rPr>
        <rFont val="Inter"/>
        <b/>
        <color rgb="FF666666"/>
      </rPr>
      <t>complete one mobility program configuration per program</t>
    </r>
    <r>
      <rPr>
        <rFont val="Inter"/>
        <color rgb="FF666666"/>
      </rPr>
      <t>.</t>
    </r>
  </si>
  <si>
    <r>
      <rPr>
        <rFont val="Inter"/>
        <b/>
        <color theme="1"/>
        <sz val="20.0"/>
      </rPr>
      <t xml:space="preserve">Mobility program configuration </t>
    </r>
    <r>
      <rPr>
        <rFont val="Inter"/>
        <b/>
        <color rgb="FF97E6E6"/>
        <sz val="20.0"/>
      </rPr>
      <t>(5)</t>
    </r>
  </si>
  <si>
    <r>
      <rPr>
        <rFont val="Arial"/>
        <b/>
        <color theme="1"/>
      </rPr>
      <t>&lt;&lt;&lt;  unfold</t>
    </r>
    <r>
      <rPr>
        <rFont val="Inter"/>
        <b/>
        <color rgb="FF46BDC6"/>
      </rPr>
      <t xml:space="preserve"> +</t>
    </r>
  </si>
  <si>
    <r>
      <rPr>
        <rFont val="Inter"/>
        <i/>
        <color rgb="FF46BDC6"/>
        <sz val="10.0"/>
      </rPr>
      <t xml:space="preserve">A default list of allowed mobilty services is proposed based on the selected mobility program template above, </t>
    </r>
    <r>
      <rPr>
        <rFont val="Inter"/>
        <b/>
        <i/>
        <color rgb="FF46BDC6"/>
        <sz val="10.0"/>
      </rPr>
      <t>please customise it in column M</t>
    </r>
  </si>
  <si>
    <r>
      <rPr>
        <rFont val="Arial"/>
        <b/>
        <color theme="1"/>
      </rPr>
      <t>&lt;&lt;&lt;  unfold</t>
    </r>
    <r>
      <rPr>
        <rFont val="Inter"/>
        <b/>
        <color rgb="FF46BDC6"/>
      </rPr>
      <t xml:space="preserve"> +</t>
    </r>
  </si>
  <si>
    <r>
      <rPr>
        <rFont val="Inter"/>
        <color theme="1"/>
        <sz val="10.0"/>
      </rPr>
      <t xml:space="preserve">Bike allowance </t>
    </r>
    <r>
      <rPr>
        <rFont val="Inter"/>
        <i/>
        <color rgb="FF46BDC6"/>
        <sz val="10.0"/>
      </rPr>
      <t>(click on '</t>
    </r>
    <r>
      <rPr>
        <rFont val="Inter"/>
        <b/>
        <i/>
        <color rgb="FF46BDC6"/>
        <sz val="10.0"/>
      </rPr>
      <t>+</t>
    </r>
    <r>
      <rPr>
        <rFont val="Inter"/>
        <i/>
        <color rgb="FF46BDC6"/>
        <sz val="10.0"/>
      </rPr>
      <t>' next to row 436 to configure)</t>
    </r>
  </si>
  <si>
    <r>
      <rPr>
        <rFont val="Inter"/>
        <color theme="1"/>
        <sz val="10.0"/>
      </rPr>
      <t>Car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441 to configure)</t>
    </r>
  </si>
  <si>
    <r>
      <rPr>
        <rFont val="Inter"/>
        <color theme="1"/>
        <sz val="10.0"/>
      </rPr>
      <t>Carpooling allowance</t>
    </r>
    <r>
      <rPr>
        <rFont val="Inter"/>
        <color rgb="FF46BDC6"/>
        <sz val="10.0"/>
      </rPr>
      <t xml:space="preserve"> </t>
    </r>
    <r>
      <rPr>
        <rFont val="Inter"/>
        <i/>
        <color rgb="FF46BDC6"/>
        <sz val="10.0"/>
      </rPr>
      <t>(click on '</t>
    </r>
    <r>
      <rPr>
        <rFont val="Inter"/>
        <b/>
        <i/>
        <color rgb="FF46BDC6"/>
        <sz val="10.0"/>
      </rPr>
      <t>+</t>
    </r>
    <r>
      <rPr>
        <rFont val="Inter"/>
        <i/>
        <color rgb="FF46BDC6"/>
        <sz val="10.0"/>
      </rPr>
      <t>' next to row 446 to configure)</t>
    </r>
  </si>
  <si>
    <r>
      <rPr>
        <rFont val="Inter"/>
        <color theme="1"/>
        <sz val="10.0"/>
      </rPr>
      <t>Pedestrian allowance</t>
    </r>
    <r>
      <rPr>
        <rFont val="Inter"/>
        <color rgb="FFBF9000"/>
        <sz val="10.0"/>
      </rPr>
      <t xml:space="preserve"> </t>
    </r>
    <r>
      <rPr>
        <rFont val="Inter"/>
        <i/>
        <color rgb="FFBF9000"/>
        <sz val="10.0"/>
      </rPr>
      <t>(click on '</t>
    </r>
    <r>
      <rPr>
        <rFont val="Inter"/>
        <b/>
        <i/>
        <color rgb="FFBF9000"/>
        <sz val="10.0"/>
      </rPr>
      <t>+</t>
    </r>
    <r>
      <rPr>
        <rFont val="Inter"/>
        <i/>
        <color rgb="FFBF9000"/>
        <sz val="10.0"/>
      </rPr>
      <t>' next to row 451 to configure)</t>
    </r>
  </si>
  <si>
    <r>
      <rPr>
        <rFont val="Arial"/>
        <b/>
        <color theme="1"/>
      </rPr>
      <t>&lt;&lt;&lt;  unfold</t>
    </r>
    <r>
      <rPr>
        <rFont val="Inter"/>
        <b/>
        <color rgb="FF46BDC6"/>
      </rPr>
      <t xml:space="preserve"> +</t>
    </r>
  </si>
  <si>
    <r>
      <rPr>
        <rFont val="Inter"/>
        <b val="0"/>
        <color theme="1"/>
        <sz val="12.0"/>
      </rPr>
      <t xml:space="preserve">3.1 </t>
    </r>
    <r>
      <rPr>
        <rFont val="Inter"/>
        <b/>
        <color theme="1"/>
        <sz val="12.0"/>
      </rPr>
      <t>Will there be groups of people with the exact same budgets?</t>
    </r>
  </si>
  <si>
    <r>
      <rPr>
        <rFont val="Inter"/>
        <color theme="1"/>
        <sz val="11.0"/>
      </rPr>
      <t xml:space="preserve">👉  In case of </t>
    </r>
    <r>
      <rPr>
        <rFont val="Inter"/>
        <b/>
        <color rgb="FF46BDC6"/>
        <sz val="11.0"/>
      </rPr>
      <t>CUSTOM BUDGETS</t>
    </r>
    <r>
      <rPr>
        <rFont val="Inter"/>
        <color theme="1"/>
        <sz val="11.0"/>
      </rPr>
      <t>, please specify the general budget behaviour hereunder:</t>
    </r>
  </si>
  <si>
    <r>
      <rPr>
        <rFont val="Inter"/>
        <color theme="1"/>
        <sz val="11.0"/>
      </rPr>
      <t xml:space="preserve">👉  In case of </t>
    </r>
    <r>
      <rPr>
        <rFont val="Inter"/>
        <b/>
        <color rgb="FF46BDC6"/>
        <sz val="11.0"/>
      </rPr>
      <t>GROUPS</t>
    </r>
    <r>
      <rPr>
        <rFont val="Inter"/>
        <color theme="1"/>
        <sz val="11.0"/>
      </rPr>
      <t>, please specify the group budget behaviour hereunder:</t>
    </r>
  </si>
  <si>
    <r>
      <rPr>
        <rFont val="Arial"/>
        <b/>
        <color theme="1"/>
      </rPr>
      <t>&lt;&lt;&lt;  unfold</t>
    </r>
    <r>
      <rPr>
        <rFont val="Inter"/>
        <b/>
        <color rgb="FF46BDC6"/>
      </rPr>
      <t xml:space="preserve"> +</t>
    </r>
  </si>
  <si>
    <r>
      <rPr>
        <rFont val="Inter"/>
        <b val="0"/>
        <color theme="1"/>
        <sz val="12.0"/>
      </rPr>
      <t xml:space="preserve">4.1 </t>
    </r>
    <r>
      <rPr>
        <rFont val="Inter"/>
        <b/>
        <color theme="1"/>
        <sz val="12.0"/>
      </rPr>
      <t>Geographical area</t>
    </r>
  </si>
  <si>
    <r>
      <rPr>
        <rFont val="Inter"/>
        <b val="0"/>
        <color theme="1"/>
        <sz val="12.0"/>
      </rPr>
      <t xml:space="preserve">4.2 </t>
    </r>
    <r>
      <rPr>
        <rFont val="Inter"/>
        <b/>
        <color theme="1"/>
        <sz val="12.0"/>
      </rPr>
      <t>Eligibility</t>
    </r>
  </si>
  <si>
    <r>
      <rPr>
        <rFont val="Inter"/>
        <b val="0"/>
        <color theme="1"/>
        <sz val="12.0"/>
      </rPr>
      <t xml:space="preserve">4.3 </t>
    </r>
    <r>
      <rPr>
        <rFont val="Inter"/>
        <b/>
        <color theme="1"/>
        <sz val="12.0"/>
      </rPr>
      <t>Starters population</t>
    </r>
  </si>
  <si>
    <r>
      <rPr>
        <rFont val="Inter"/>
        <b val="0"/>
        <color theme="1"/>
        <sz val="12.0"/>
      </rPr>
      <t xml:space="preserve">4.4 </t>
    </r>
    <r>
      <rPr>
        <rFont val="Inter"/>
        <b/>
        <color theme="1"/>
        <sz val="12.0"/>
      </rPr>
      <t>Go live</t>
    </r>
    <r>
      <rPr>
        <rFont val="Inter"/>
        <b val="0"/>
        <color theme="1"/>
        <sz val="12.0"/>
      </rPr>
      <t xml:space="preserve"> - </t>
    </r>
    <r>
      <rPr>
        <rFont val="Inter"/>
        <b/>
        <color theme="1"/>
        <sz val="12.0"/>
      </rPr>
      <t>Invitation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</si>
  <si>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</si>
  <si>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4.5 </t>
    </r>
    <r>
      <rPr>
        <rFont val="Inter"/>
        <b/>
        <color theme="1"/>
        <sz val="12.0"/>
      </rPr>
      <t>Budget start date</t>
    </r>
  </si>
  <si>
    <r>
      <rPr>
        <rFont val="Inter"/>
        <color theme="1"/>
        <sz val="10.0"/>
      </rPr>
      <t xml:space="preserve">Format = </t>
    </r>
    <r>
      <rPr>
        <rFont val="Inter"/>
        <b/>
        <color theme="1"/>
        <sz val="10.0"/>
      </rPr>
      <t>DD/MM/YYYY</t>
    </r>
    <r>
      <rPr>
        <rFont val="Inter"/>
        <color theme="1"/>
        <sz val="10.0"/>
      </rPr>
      <t xml:space="preserve">   &gt;</t>
    </r>
  </si>
  <si>
    <r>
      <rPr>
        <rFont val="Inter"/>
        <b val="0"/>
        <color theme="1"/>
        <sz val="12.0"/>
      </rPr>
      <t xml:space="preserve">4.6 </t>
    </r>
    <r>
      <rPr>
        <rFont val="Inter"/>
        <b/>
        <color theme="1"/>
        <sz val="12.0"/>
      </rPr>
      <t>Reimbursements private card expenses</t>
    </r>
  </si>
  <si>
    <r>
      <rPr>
        <rFont val="Inter"/>
        <b val="0"/>
        <color theme="1"/>
        <sz val="12.0"/>
      </rPr>
      <t xml:space="preserve">4.7 </t>
    </r>
    <r>
      <rPr>
        <rFont val="Inter"/>
        <b/>
        <color theme="1"/>
        <sz val="12.0"/>
      </rPr>
      <t>Mobility payment cards</t>
    </r>
  </si>
  <si>
    <r>
      <rPr>
        <rFont val="Inter"/>
        <b val="0"/>
        <color theme="1"/>
        <sz val="12.0"/>
      </rPr>
      <t xml:space="preserve">4.8 </t>
    </r>
    <r>
      <rPr>
        <rFont val="Inter"/>
        <b/>
        <color theme="1"/>
        <sz val="12.0"/>
      </rPr>
      <t>Declaration of honor</t>
    </r>
  </si>
  <si>
    <t>📢</t>
  </si>
  <si>
    <t xml:space="preserve"> Communication plan</t>
  </si>
  <si>
    <t>Introduction communication plan</t>
  </si>
  <si>
    <t>In order to guarantee a successful launch of the mobility budget within your company, a well-throughout communication plan is needed.</t>
  </si>
  <si>
    <t>Implementing a new mobility policy and introducing a new mobility tool comes with it's complexity, but if you follow the ADKAR model, it becomes easy!</t>
  </si>
  <si>
    <t>ADKAR model, what's that?</t>
  </si>
  <si>
    <t>During the implementation phase, there are different stakeholders that need to receive information.</t>
  </si>
  <si>
    <r>
      <rPr>
        <rFont val="Arial"/>
        <color rgb="FF666666"/>
      </rPr>
      <t xml:space="preserve">The ADKAR model ensures </t>
    </r>
    <r>
      <rPr>
        <rFont val="Arial"/>
        <b/>
        <color rgb="FF666666"/>
      </rPr>
      <t xml:space="preserve">the right </t>
    </r>
    <r>
      <rPr>
        <rFont val="Arial"/>
        <b/>
        <color rgb="FF46BDC6"/>
      </rPr>
      <t>people</t>
    </r>
    <r>
      <rPr>
        <rFont val="Arial"/>
        <color rgb="FF666666"/>
      </rPr>
      <t xml:space="preserve"> receive </t>
    </r>
    <r>
      <rPr>
        <rFont val="Arial"/>
        <b/>
        <color rgb="FF666666"/>
      </rPr>
      <t>the</t>
    </r>
    <r>
      <rPr>
        <rFont val="Arial"/>
        <color rgb="FF666666"/>
      </rPr>
      <t xml:space="preserve"> </t>
    </r>
    <r>
      <rPr>
        <rFont val="Arial"/>
        <b/>
        <color rgb="FF666666"/>
      </rPr>
      <t xml:space="preserve">right </t>
    </r>
    <r>
      <rPr>
        <rFont val="Arial"/>
        <b/>
        <color rgb="FF46BDC6"/>
      </rPr>
      <t>information</t>
    </r>
    <r>
      <rPr>
        <rFont val="Arial"/>
        <color rgb="FF666666"/>
      </rPr>
      <t xml:space="preserve"> at </t>
    </r>
    <r>
      <rPr>
        <rFont val="Arial"/>
        <b/>
        <color rgb="FF666666"/>
      </rPr>
      <t>the right</t>
    </r>
    <r>
      <rPr>
        <rFont val="Arial"/>
        <b/>
        <color rgb="FF46BDC6"/>
      </rPr>
      <t xml:space="preserve"> time</t>
    </r>
    <r>
      <rPr>
        <rFont val="Arial"/>
        <color rgb="FF666666"/>
      </rPr>
      <t>.</t>
    </r>
  </si>
  <si>
    <t>ADKAR stands for Awareness, Desire, Knowledge, Ability, Reinforcement.</t>
  </si>
  <si>
    <t>Based on the information you provided in the tab "Mobility Program", we can now start building your communication plan.</t>
  </si>
  <si>
    <t xml:space="preserve">Please find hereunder a communication plan proposal, based on your GO LIVE date. </t>
  </si>
  <si>
    <t>This is a draft, dates might fall in the weekend and will have to be rescheduled.</t>
  </si>
  <si>
    <t>Your tailor-made communication plan</t>
  </si>
  <si>
    <t>Mobility Program</t>
  </si>
  <si>
    <t>GO LIVE date</t>
  </si>
  <si>
    <t>Awareness</t>
  </si>
  <si>
    <t>Desire</t>
  </si>
  <si>
    <t>Knowledge &amp; Ability</t>
  </si>
  <si>
    <t>Reinforcement</t>
  </si>
  <si>
    <r>
      <rPr>
        <rFont val="Source Sans Pro"/>
        <color theme="1"/>
      </rPr>
      <t xml:space="preserve">Once you know what you want to offer to your employees and your mobility policy draft is getting finalized, we can start the communication towards your employees.
This is the awareness phase. Skipr creates a </t>
    </r>
    <r>
      <rPr>
        <rFont val="Source Sans Pro"/>
        <b/>
        <color theme="1"/>
      </rPr>
      <t>custom slidedeck based on your policy</t>
    </r>
    <r>
      <rPr>
        <rFont val="Source Sans Pro"/>
        <color theme="1"/>
      </rPr>
      <t xml:space="preserve"> and takes care of the communication during an </t>
    </r>
    <r>
      <rPr>
        <rFont val="Source Sans Pro"/>
        <b/>
        <color theme="1"/>
      </rPr>
      <t>online info session</t>
    </r>
    <r>
      <rPr>
        <rFont val="Source Sans Pro"/>
        <color theme="1"/>
      </rPr>
      <t xml:space="preserve">.
This session can be </t>
    </r>
    <r>
      <rPr>
        <rFont val="Source Sans Pro"/>
        <b/>
        <color theme="1"/>
      </rPr>
      <t>recorded for later purposes</t>
    </r>
    <r>
      <rPr>
        <rFont val="Source Sans Pro"/>
        <color theme="1"/>
      </rPr>
      <t xml:space="preserve">, it is therefore important that the meeting invites are </t>
    </r>
    <r>
      <rPr>
        <rFont val="Source Sans Pro"/>
        <b/>
        <color theme="1"/>
      </rPr>
      <t xml:space="preserve">sent out by the client </t>
    </r>
    <r>
      <rPr>
        <rFont val="Source Sans Pro"/>
        <color theme="1"/>
      </rPr>
      <t>(not by Skipr) so the recording automatically arrives in the mailbox of the client after the meeting has ended.</t>
    </r>
  </si>
  <si>
    <r>
      <rPr>
        <rFont val="Source Sans Pro"/>
        <color theme="1"/>
      </rPr>
      <t xml:space="preserve">After the info session, your employees are </t>
    </r>
    <r>
      <rPr>
        <rFont val="Source Sans Pro"/>
        <b/>
        <color theme="1"/>
      </rPr>
      <t>well-informed</t>
    </r>
    <r>
      <rPr>
        <rFont val="Source Sans Pro"/>
        <color theme="1"/>
      </rPr>
      <t xml:space="preserve"> about the mobility policy / legislation / employee benefit.
In case the benefit is the Mobility Budget, this is the phase eligible employees have the</t>
    </r>
    <r>
      <rPr>
        <rFont val="Source Sans Pro"/>
        <b/>
        <color theme="1"/>
      </rPr>
      <t xml:space="preserve"> time to inform HR about their interest</t>
    </r>
    <r>
      <rPr>
        <rFont val="Source Sans Pro"/>
        <color theme="1"/>
      </rPr>
      <t xml:space="preserve"> to join the FMB (at the end of their current lease).
The mobility budget amount is communicated to them individually and a </t>
    </r>
    <r>
      <rPr>
        <rFont val="Source Sans Pro"/>
        <b/>
        <color theme="1"/>
      </rPr>
      <t>contract addendum</t>
    </r>
    <r>
      <rPr>
        <rFont val="Source Sans Pro"/>
        <color theme="1"/>
      </rPr>
      <t xml:space="preserve"> is shared (and signed) with those who can opt in.
It is recommended to keep a </t>
    </r>
    <r>
      <rPr>
        <rFont val="Source Sans Pro"/>
        <b/>
        <color theme="1"/>
      </rPr>
      <t>list of interested employees</t>
    </r>
    <r>
      <rPr>
        <rFont val="Source Sans Pro"/>
        <color theme="1"/>
      </rPr>
      <t>, so they remain on your radar.</t>
    </r>
  </si>
  <si>
    <r>
      <rPr>
        <rFont val="Arial"/>
        <color theme="1"/>
      </rPr>
      <t xml:space="preserve">During this phase, Skipr ensures all stakeholders are </t>
    </r>
    <r>
      <rPr>
        <rFont val="Arial"/>
        <b/>
        <color theme="1"/>
      </rPr>
      <t>well-informed on the processes</t>
    </r>
    <r>
      <rPr>
        <rFont val="Arial"/>
        <color theme="1"/>
      </rPr>
      <t xml:space="preserve"> that come with the tool.
Admins receive an </t>
    </r>
    <r>
      <rPr>
        <rFont val="Arial"/>
        <b/>
        <color theme="1"/>
      </rPr>
      <t>admin training</t>
    </r>
    <r>
      <rPr>
        <rFont val="Arial"/>
        <color theme="1"/>
      </rPr>
      <t xml:space="preserve"> one week before the GO LIVE
Employees receive an </t>
    </r>
    <r>
      <rPr>
        <rFont val="Arial"/>
        <b/>
        <color theme="1"/>
      </rPr>
      <t xml:space="preserve">employee user training </t>
    </r>
    <r>
      <rPr>
        <rFont val="Arial"/>
        <color theme="1"/>
      </rPr>
      <t>on the day they start receiving the benefit =&gt;</t>
    </r>
    <r>
      <rPr>
        <rFont val="Arial"/>
        <b/>
        <color theme="1"/>
      </rPr>
      <t xml:space="preserve"> </t>
    </r>
    <r>
      <rPr>
        <rFont val="Arial"/>
        <color theme="1"/>
      </rPr>
      <t>this marks the</t>
    </r>
    <r>
      <rPr>
        <rFont val="Arial"/>
        <b/>
        <color theme="1"/>
      </rPr>
      <t xml:space="preserve"> GO LIVE </t>
    </r>
    <r>
      <rPr>
        <rFont val="Arial"/>
        <color theme="1"/>
      </rPr>
      <t xml:space="preserve">date
These </t>
    </r>
    <r>
      <rPr>
        <rFont val="Arial"/>
        <b/>
        <color theme="1"/>
      </rPr>
      <t>sessions can be recorded</t>
    </r>
    <r>
      <rPr>
        <rFont val="Arial"/>
        <color theme="1"/>
      </rPr>
      <t xml:space="preserve"> for later purposes, it is therefore important that these sessions are </t>
    </r>
    <r>
      <rPr>
        <rFont val="Arial"/>
        <b/>
        <color theme="1"/>
      </rPr>
      <t>sent out by the client</t>
    </r>
    <r>
      <rPr>
        <rFont val="Arial"/>
        <color theme="1"/>
      </rPr>
      <t xml:space="preserve"> (not by Skipr) so the recording automatically arrives in the mailbox of the client after the meeting has ended.</t>
    </r>
  </si>
  <si>
    <r>
      <rPr>
        <rFont val="Arial"/>
        <color theme="1"/>
      </rPr>
      <t xml:space="preserve">To ensure your employees and your admins receive the best support, please make sure to </t>
    </r>
    <r>
      <rPr>
        <rFont val="Arial"/>
        <b/>
        <color theme="1"/>
      </rPr>
      <t>share the following documents and hyperlinks with your company.</t>
    </r>
  </si>
  <si>
    <t>Communication Package available upon request</t>
  </si>
  <si>
    <r>
      <rPr>
        <rFont val="Arial"/>
        <color theme="1"/>
      </rPr>
      <t>ADMIN TRAINING</t>
    </r>
    <r>
      <rPr>
        <rFont val="Arial"/>
        <color theme="1"/>
      </rPr>
      <t xml:space="preserve"> (meeting)</t>
    </r>
  </si>
  <si>
    <t>Info session slidedeck</t>
  </si>
  <si>
    <t xml:space="preserve">Info session: </t>
  </si>
  <si>
    <t>Info session recording</t>
  </si>
  <si>
    <t>1) Slidedeck ready</t>
  </si>
  <si>
    <t>Onepagers</t>
  </si>
  <si>
    <t xml:space="preserve">User training: </t>
  </si>
  <si>
    <t>User guide</t>
  </si>
  <si>
    <r>
      <rPr>
        <rFont val="Arial"/>
        <b val="0"/>
        <i/>
        <color theme="1"/>
      </rPr>
      <t>2)</t>
    </r>
    <r>
      <rPr>
        <rFont val="Arial"/>
        <b/>
        <i/>
        <color theme="1"/>
      </rPr>
      <t xml:space="preserve"> </t>
    </r>
    <r>
      <rPr>
        <rFont val="Arial"/>
        <b val="0"/>
        <i/>
        <color theme="1"/>
      </rPr>
      <t>Meeting</t>
    </r>
    <r>
      <rPr>
        <rFont val="Arial"/>
        <b/>
        <i/>
        <color theme="1"/>
      </rPr>
      <t xml:space="preserve"> invite</t>
    </r>
    <r>
      <rPr>
        <rFont val="Arial"/>
        <b val="0"/>
        <i/>
        <color theme="1"/>
      </rPr>
      <t xml:space="preserve"> </t>
    </r>
    <r>
      <rPr>
        <rFont val="Arial"/>
        <b/>
        <i/>
        <color theme="1"/>
      </rPr>
      <t>sent out</t>
    </r>
  </si>
  <si>
    <t>Email templates</t>
  </si>
  <si>
    <t>User training recording</t>
  </si>
  <si>
    <r>
      <rPr>
        <rFont val="Arial"/>
        <i/>
        <color theme="1"/>
      </rPr>
      <t>3)</t>
    </r>
    <r>
      <rPr>
        <rFont val="Arial"/>
        <i/>
        <color theme="1"/>
      </rPr>
      <t xml:space="preserve"> INFO SESSION </t>
    </r>
    <r>
      <rPr>
        <rFont val="Arial"/>
        <i/>
        <color theme="1"/>
      </rPr>
      <t>(meeting)</t>
    </r>
  </si>
  <si>
    <t>user guides</t>
  </si>
  <si>
    <r>
      <rPr>
        <rFont val="Arial"/>
        <b val="0"/>
        <i/>
        <color theme="1"/>
      </rPr>
      <t>2) Meeting</t>
    </r>
    <r>
      <rPr>
        <rFont val="Arial"/>
        <b/>
        <i/>
        <color theme="1"/>
      </rPr>
      <t xml:space="preserve"> invite sent out</t>
    </r>
  </si>
  <si>
    <t>Your dedicated CSM contact</t>
  </si>
  <si>
    <t>Informative videos</t>
  </si>
  <si>
    <r>
      <rPr>
        <rFont val="Arial"/>
        <i/>
        <color theme="1"/>
      </rPr>
      <t xml:space="preserve">3) </t>
    </r>
    <r>
      <rPr>
        <rFont val="Arial"/>
        <i/>
        <color theme="1"/>
      </rPr>
      <t>USER TRAINING</t>
    </r>
    <r>
      <rPr>
        <rFont val="Arial"/>
        <i/>
        <color theme="1"/>
      </rPr>
      <t xml:space="preserve"> (meeting)</t>
    </r>
  </si>
  <si>
    <t>Dashboard URL</t>
  </si>
  <si>
    <t>https://move.ayvens.com/</t>
  </si>
  <si>
    <t>Slidedeck shared with employees</t>
  </si>
  <si>
    <t>etc.</t>
  </si>
  <si>
    <t>FAQ pages employees</t>
  </si>
  <si>
    <t>https://aldmove.zendesk.com/hc/en-us/categories/20561192896018-Employee</t>
  </si>
  <si>
    <t>Recording of info session available on intranet</t>
  </si>
  <si>
    <t>FAQ pages admins</t>
  </si>
  <si>
    <t>https://aldmove.zendesk.com/hc/en-us/categories/20561171188242-Admin</t>
  </si>
  <si>
    <t>Recording of user training available on intranet</t>
  </si>
  <si>
    <t>Direct support</t>
  </si>
  <si>
    <t>https://aldmove.zendesk.com/hc/nl-be/requests/new</t>
  </si>
  <si>
    <t>+/- 1 to 2 months prior to GO LIVE</t>
  </si>
  <si>
    <t>Duration = +/- 3 weeks</t>
  </si>
  <si>
    <t>GO LIVE</t>
  </si>
  <si>
    <t>Hypercare phase</t>
  </si>
  <si>
    <t>✅</t>
  </si>
  <si>
    <t>KYC status check</t>
  </si>
  <si>
    <r>
      <rPr>
        <rFont val="Inter"/>
        <b/>
        <color theme="1"/>
        <sz val="20.0"/>
      </rPr>
      <t xml:space="preserve">KYC : What?  </t>
    </r>
    <r>
      <rPr>
        <rFont val="Inter"/>
        <b/>
        <color rgb="FF46BDC6"/>
        <sz val="13.0"/>
      </rPr>
      <t>(Click on '+' to unfold and read more)</t>
    </r>
  </si>
  <si>
    <r>
      <rPr>
        <rFont val="Arial"/>
        <b/>
        <color theme="1"/>
      </rPr>
      <t>&lt;&lt;&lt;  unfold</t>
    </r>
    <r>
      <rPr>
        <rFont val="Inter"/>
        <b/>
        <color rgb="FF46BDC6"/>
      </rPr>
      <t xml:space="preserve"> +</t>
    </r>
  </si>
  <si>
    <r>
      <rPr>
        <rFont val="Inter"/>
        <color rgb="FF666666"/>
      </rPr>
      <t>KYC stands for “</t>
    </r>
    <r>
      <rPr>
        <rFont val="Inter"/>
        <b/>
        <color rgb="FF666666"/>
      </rPr>
      <t>Know Your Customer</t>
    </r>
    <r>
      <rPr>
        <rFont val="Inter"/>
        <color rgb="FF666666"/>
      </rPr>
      <t>” and refers to the regulatory procedures that banks and other regulated institutions must follow.</t>
    </r>
  </si>
  <si>
    <r>
      <rPr>
        <rFont val="Inter"/>
        <color rgb="FF666666"/>
      </rPr>
      <t xml:space="preserve">Under European and national legislation, the process </t>
    </r>
    <r>
      <rPr>
        <rFont val="Inter"/>
        <b/>
        <color rgb="FF666666"/>
      </rPr>
      <t>verifies the identity of a customer</t>
    </r>
    <r>
      <rPr>
        <rFont val="Inter"/>
        <color rgb="FF666666"/>
      </rPr>
      <t xml:space="preserve"> (legal or natural person)</t>
    </r>
  </si>
  <si>
    <t xml:space="preserve"> by reviewing official documents such as an ID card, passport, proof of address, or company documents (e.g. articles of association, Kbis).</t>
  </si>
  <si>
    <r>
      <rPr>
        <rFont val="Inter"/>
        <color rgb="FF666666"/>
      </rPr>
      <t xml:space="preserve">As Skipr acts as a </t>
    </r>
    <r>
      <rPr>
        <rFont val="Inter"/>
        <b/>
        <color rgb="FF666666"/>
      </rPr>
      <t>commercial agent for Treezor</t>
    </r>
    <r>
      <rPr>
        <rFont val="Inter"/>
        <color rgb="FF666666"/>
      </rPr>
      <t xml:space="preserve"> (the financial institution that opens payment accounts for our clients), </t>
    </r>
  </si>
  <si>
    <t>we must demonstrate that we are in direct contact with the client requesting the account (payment account for mobility expenses)</t>
  </si>
  <si>
    <t>This is done by providing specific documents, as explained below.</t>
  </si>
  <si>
    <r>
      <rPr>
        <rFont val="Inter"/>
        <b/>
        <color theme="1"/>
        <sz val="20.0"/>
      </rPr>
      <t xml:space="preserve">KYC : Why? </t>
    </r>
    <r>
      <rPr>
        <rFont val="Inter"/>
        <b/>
        <color rgb="FF46BDC6"/>
        <sz val="13.0"/>
      </rPr>
      <t>(Click on '+' to unfold and read more)</t>
    </r>
  </si>
  <si>
    <r>
      <rPr>
        <rFont val="Arial"/>
        <b/>
        <color theme="1"/>
      </rPr>
      <t>&lt;&lt;&lt;  unfold</t>
    </r>
    <r>
      <rPr>
        <rFont val="Inter"/>
        <b/>
        <color rgb="FF46BDC6"/>
      </rPr>
      <t xml:space="preserve"> +</t>
    </r>
  </si>
  <si>
    <t>1. Creation of a payment account (company wallet)</t>
  </si>
  <si>
    <t>To allow employees to make mobility purchases, a payment account must first be created to which their mobility payment card will be linked.</t>
  </si>
  <si>
    <t>2. One company wallet per entity</t>
  </si>
  <si>
    <t>For accounting purposes, we create one company wallet per entity using our solution. Employees are then linked to their respective entity in the platform.</t>
  </si>
  <si>
    <t>3. The mobility payment card</t>
  </si>
  <si>
    <t xml:space="preserve">Each employee receives a mobility payment card (debit Mastercard) linked to their entity’s company wallet. </t>
  </si>
  <si>
    <t>The card can only be used for mobility expenses that comply with your company mobility policy.</t>
  </si>
  <si>
    <t>4. KYC verification</t>
  </si>
  <si>
    <t>To comply with EU anti-money laundering legislation, we must complete a KYC process with our financial partner Treezor.</t>
  </si>
  <si>
    <t xml:space="preserve">This requires identifying the company’s ultimate beneficiary or legal representative(s) and providing identification (ID card or passport) </t>
  </si>
  <si>
    <t>and other documents to confirm our relationship with the client.</t>
  </si>
  <si>
    <t xml:space="preserve">Please collect the below documents and share them with your CSM at Skipr </t>
  </si>
  <si>
    <r>
      <rPr>
        <rFont val="Inter"/>
        <b/>
        <color theme="1"/>
        <sz val="20.0"/>
      </rPr>
      <t xml:space="preserve">Your KYC tracker  👉 </t>
    </r>
    <r>
      <rPr>
        <rFont val="Inter"/>
        <b/>
        <color rgb="FF46BDC6"/>
        <sz val="20.0"/>
      </rPr>
      <t xml:space="preserve"> A tool to help you collect the KYC documents</t>
    </r>
  </si>
  <si>
    <r>
      <rPr>
        <rFont val="Arial"/>
        <b/>
        <color theme="1"/>
      </rPr>
      <t>&lt;&lt;&lt;  unfold</t>
    </r>
    <r>
      <rPr>
        <rFont val="Inter"/>
        <b/>
        <color rgb="FF46BDC6"/>
      </rPr>
      <t xml:space="preserve"> +</t>
    </r>
  </si>
  <si>
    <t>Goal Tracker</t>
  </si>
  <si>
    <t>- Constitution document</t>
  </si>
  <si>
    <t>Shared with Skipr</t>
  </si>
  <si>
    <r>
      <rPr>
        <rFont val="Arial"/>
        <b/>
        <color theme="1"/>
      </rPr>
      <t xml:space="preserve">- KBO document </t>
    </r>
    <r>
      <rPr>
        <rFont val="Arial"/>
        <b/>
        <color rgb="FF46BDC6"/>
      </rPr>
      <t>(less than 3 months old)</t>
    </r>
  </si>
  <si>
    <t>Got it (not shared yet)</t>
  </si>
  <si>
    <r>
      <rPr>
        <rFont val="Arial"/>
        <i val="0"/>
        <color rgb="FF999999"/>
      </rPr>
      <t>💡</t>
    </r>
    <r>
      <rPr>
        <rFont val="Arial"/>
        <i/>
        <color rgb="FF999999"/>
      </rPr>
      <t xml:space="preserve"> Please download KBO via this URL: https://kbopub.economie.fgov.be/kbopub/zoeknummerform.html?lang=nl</t>
    </r>
  </si>
  <si>
    <t>- Annual report J-1</t>
  </si>
  <si>
    <r>
      <rPr>
        <rFont val="Arial"/>
        <i val="0"/>
        <color rgb="FF999999"/>
      </rPr>
      <t xml:space="preserve">💡 </t>
    </r>
    <r>
      <rPr>
        <rFont val="Arial"/>
        <i/>
        <color rgb="FF999999"/>
      </rPr>
      <t>Scroll down on the KBO document to find the hyperlinks to the annual report J-1</t>
    </r>
  </si>
  <si>
    <t>- Signed Statuts</t>
  </si>
  <si>
    <t>not started</t>
  </si>
  <si>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</si>
  <si>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</si>
  <si>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t>1) Is your company owned by a listed company?</t>
  </si>
  <si>
    <t>1.1) If yes, please provide a proof that the parent entity is listed.</t>
  </si>
  <si>
    <t>💡</t>
  </si>
  <si>
    <t xml:space="preserve">       Proof can be a screenshot of the Google search result : "Stock Price (PARENT ENTITY NAME)"</t>
  </si>
  <si>
    <t>1.2) If no, please provide the UBO of the parent entity.</t>
  </si>
  <si>
    <t>2) Is your company (partially) owned by a non-listed company?</t>
  </si>
  <si>
    <t>2.1) If yes, please provide the UBO of that company</t>
  </si>
  <si>
    <t>3) Is your company (partially) owned by individuals with more than 25% voting rights?</t>
  </si>
  <si>
    <t>3.1) If yes, please provide the ID card(s) of the beneficiaries with +25% of voting rights</t>
  </si>
  <si>
    <r>
      <rPr>
        <rFont val="Inter"/>
        <b/>
        <color rgb="FF000000"/>
      </rPr>
      <t xml:space="preserve">- ID Card </t>
    </r>
    <r>
      <rPr>
        <rFont val="Inter"/>
        <color rgb="FF000000"/>
      </rPr>
      <t>of Legal representative as mentioned on the KBO</t>
    </r>
  </si>
  <si>
    <t>Please confirm that the card meets all the requirments</t>
  </si>
  <si>
    <t>Front and back</t>
  </si>
  <si>
    <t>High quality</t>
  </si>
  <si>
    <t>In color</t>
  </si>
  <si>
    <t>All corners visible on the picture</t>
  </si>
  <si>
    <r>
      <rPr>
        <rFont val="Inter"/>
        <b/>
        <color rgb="FF000000"/>
      </rPr>
      <t xml:space="preserve">- ID Card (if any) </t>
    </r>
    <r>
      <rPr>
        <rFont val="Inter"/>
        <color rgb="FF000000"/>
      </rPr>
      <t>of individuals with +25% voting rights, as mentioned on the UBO</t>
    </r>
  </si>
  <si>
    <t xml:space="preserve">SEPA transfer </t>
  </si>
  <si>
    <t>1. no info received yet</t>
  </si>
  <si>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</si>
  <si>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</si>
  <si>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</si>
  <si>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</si>
  <si>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</si>
  <si>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</si>
  <si>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t>- ID Card of Legal representative as mentioned on the KBO</t>
  </si>
  <si>
    <t>- ID Card (if any) of individuals with +25% voting rights, as mentioned on the UBO</t>
  </si>
  <si>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</si>
  <si>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</si>
  <si>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</si>
  <si>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</si>
  <si>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</si>
  <si>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</si>
  <si>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</si>
  <si>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</si>
  <si>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</si>
  <si>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</si>
  <si>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</si>
  <si>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</si>
  <si>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t>1.2) If no, please provide the UBO of the parent entity</t>
  </si>
  <si>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</si>
  <si>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</si>
  <si>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</si>
  <si>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</si>
  <si>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</si>
  <si>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</si>
  <si>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</si>
  <si>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</si>
  <si>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</si>
  <si>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</si>
  <si>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</si>
  <si>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</si>
  <si>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</si>
  <si>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</si>
  <si>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</si>
  <si>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</si>
  <si>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</si>
  <si>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</si>
  <si>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</si>
  <si>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</si>
  <si>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</si>
  <si>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</si>
  <si>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</si>
  <si>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</si>
  <si>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</si>
  <si>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</si>
  <si>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</si>
  <si>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</si>
  <si>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</si>
  <si>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</si>
  <si>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r>
      <rPr>
        <rFont val="Arial"/>
        <b/>
        <color theme="1"/>
      </rPr>
      <t>&lt;&lt;&lt;  unfold</t>
    </r>
    <r>
      <rPr>
        <rFont val="Inter"/>
        <b/>
        <color rgb="FF46BDC6"/>
      </rPr>
      <t xml:space="preserve"> +</t>
    </r>
  </si>
  <si>
    <r>
      <rPr>
        <rFont val="Arial"/>
        <b/>
        <color theme="1"/>
      </rPr>
      <t xml:space="preserve">- KBO document </t>
    </r>
    <r>
      <rPr>
        <rFont val="Arial"/>
        <b/>
        <color rgb="FF46BDC6"/>
      </rPr>
      <t>(less than 3 months old)</t>
    </r>
  </si>
  <si>
    <r>
      <rPr>
        <rFont val="Arial"/>
        <i val="0"/>
        <color rgb="FF999999"/>
      </rPr>
      <t>💡</t>
    </r>
    <r>
      <rPr>
        <rFont val="Arial"/>
        <i/>
        <color rgb="FF999999"/>
      </rPr>
      <t xml:space="preserve"> Please download KBO via this URL: https://kbopub.economie.fgov.be/kbopub/zoeknummerform.html?lang=nl</t>
    </r>
  </si>
  <si>
    <r>
      <rPr>
        <rFont val="Arial"/>
        <i val="0"/>
        <color rgb="FF999999"/>
      </rPr>
      <t xml:space="preserve">💡 </t>
    </r>
    <r>
      <rPr>
        <rFont val="Arial"/>
        <i/>
        <color rgb="FF999999"/>
      </rPr>
      <t>Scroll down on the KBO document to find the hyperlinks to the annual report J-1</t>
    </r>
  </si>
  <si>
    <r>
      <rPr>
        <rFont val="Arial"/>
        <i val="0"/>
        <color rgb="FF999999"/>
      </rPr>
      <t xml:space="preserve">💡 </t>
    </r>
    <r>
      <rPr>
        <rFont val="Arial"/>
        <i/>
        <color rgb="FF999999"/>
      </rPr>
      <t>Please download via this URL: https://statuts.notaire.be/stapor_v1/search</t>
    </r>
  </si>
  <si>
    <r>
      <rPr>
        <rFont val="Arial"/>
        <b/>
        <color theme="1"/>
      </rPr>
      <t xml:space="preserve">- UBO register </t>
    </r>
    <r>
      <rPr>
        <rFont val="Arial"/>
        <b/>
        <color rgb="FF46BDC6"/>
      </rPr>
      <t>(less than 3 months old)</t>
    </r>
  </si>
  <si>
    <t>📚</t>
  </si>
  <si>
    <r>
      <rPr>
        <rFont val="Arial"/>
        <b/>
        <color rgb="FF46BDC6"/>
        <sz val="20.0"/>
      </rPr>
      <t>Planhat</t>
    </r>
    <r>
      <rPr>
        <rFont val="Arial"/>
        <b/>
        <color rgb="FFFFFFFF"/>
        <sz val="20.0"/>
      </rPr>
      <t xml:space="preserve"> information</t>
    </r>
  </si>
  <si>
    <r>
      <rPr>
        <rFont val="Arial"/>
        <b/>
        <color theme="1"/>
      </rPr>
      <t xml:space="preserve"> Attention points </t>
    </r>
    <r>
      <rPr>
        <rFont val="Arial"/>
        <b val="0"/>
        <color theme="1"/>
      </rPr>
      <t>(to be completed by CSM)</t>
    </r>
    <r>
      <rPr>
        <rFont val="Arial"/>
        <b/>
        <color theme="1"/>
      </rPr>
      <t>:</t>
    </r>
  </si>
  <si>
    <t>Please complete the open field below</t>
  </si>
  <si>
    <t>🎛️</t>
  </si>
  <si>
    <t>General client info</t>
  </si>
  <si>
    <r>
      <rPr>
        <rFont val="Arial"/>
        <b val="0"/>
        <color theme="1"/>
      </rPr>
      <t xml:space="preserve">Actionable </t>
    </r>
    <r>
      <rPr>
        <rFont val="Arial"/>
        <b/>
        <color theme="1"/>
      </rPr>
      <t>objectives</t>
    </r>
  </si>
  <si>
    <r>
      <rPr>
        <rFont val="Arial"/>
        <b val="0"/>
        <color theme="1"/>
      </rPr>
      <t xml:space="preserve">Main </t>
    </r>
    <r>
      <rPr>
        <rFont val="Arial"/>
        <b/>
        <color theme="1"/>
      </rPr>
      <t>SPOC</t>
    </r>
  </si>
  <si>
    <t>Contact Skipr</t>
  </si>
  <si>
    <r>
      <rPr>
        <rFont val="Arial"/>
        <b/>
        <color theme="1"/>
      </rPr>
      <t>Total number of employees</t>
    </r>
    <r>
      <rPr>
        <rFont val="Arial"/>
        <b val="0"/>
        <i/>
        <color theme="1"/>
      </rPr>
      <t xml:space="preserve"> (all entities)</t>
    </r>
  </si>
  <si>
    <r>
      <rPr>
        <rFont val="Arial"/>
        <b/>
        <color theme="1"/>
      </rPr>
      <t xml:space="preserve">Total number of company cars </t>
    </r>
    <r>
      <rPr>
        <rFont val="Arial"/>
        <b val="0"/>
        <i/>
        <color theme="1"/>
      </rPr>
      <t>(all entities)</t>
    </r>
  </si>
  <si>
    <t>Total estimated number of employees at start</t>
  </si>
  <si>
    <t>Phyiscal cards</t>
  </si>
  <si>
    <r>
      <rPr>
        <rFont val="Arial"/>
        <b val="0"/>
        <color theme="1"/>
      </rPr>
      <t>Smartelia</t>
    </r>
    <r>
      <rPr>
        <rFont val="Arial"/>
        <b/>
        <color theme="1"/>
      </rPr>
      <t xml:space="preserve"> Expense validation</t>
    </r>
  </si>
  <si>
    <t>SSO</t>
  </si>
  <si>
    <r>
      <rPr>
        <rFont val="Arial"/>
        <b val="0"/>
        <color theme="1"/>
      </rPr>
      <t xml:space="preserve">Custom </t>
    </r>
    <r>
      <rPr>
        <rFont val="Arial"/>
        <b/>
        <color theme="1"/>
      </rPr>
      <t>Payroll Report</t>
    </r>
  </si>
  <si>
    <t>Payroll cut-off day</t>
  </si>
  <si>
    <t>Payroll Delivery day</t>
  </si>
  <si>
    <t>Pillar 3 payout company leavers</t>
  </si>
  <si>
    <t>PTO management</t>
  </si>
  <si>
    <t>💸</t>
  </si>
  <si>
    <t>Finance</t>
  </si>
  <si>
    <t>(Parent, if applicable)</t>
  </si>
  <si>
    <t>Parent + daughter entities</t>
  </si>
  <si>
    <t>Invoicing recipient</t>
  </si>
  <si>
    <t>Mobility programs sum-up</t>
  </si>
  <si>
    <t>Mobility programs (default)</t>
  </si>
  <si>
    <t>Mobility Program custom name</t>
  </si>
  <si>
    <t>Requested GO LIVE</t>
  </si>
  <si>
    <t>Eligible employees</t>
  </si>
  <si>
    <t>Expected users at start</t>
  </si>
  <si>
    <t>Number of (mobility) services</t>
  </si>
  <si>
    <t>Number of groups</t>
  </si>
  <si>
    <t>Geographical scope</t>
  </si>
  <si>
    <t>Reimbursement requests allowed?</t>
  </si>
  <si>
    <t>Reimbursement additional comments</t>
  </si>
  <si>
    <t>✍️ CSM notes</t>
  </si>
  <si>
    <t>Please write down all client specificities that might be useful for the AI agents to know.</t>
  </si>
  <si>
    <t>What is important to the client? Where do they deviate from the default behaviour of clients?</t>
  </si>
  <si>
    <t>&lt; Read more</t>
  </si>
  <si>
    <t>☑️</t>
  </si>
  <si>
    <t>Skipr validations briefing</t>
  </si>
  <si>
    <t>Validations checked by Skipr:</t>
  </si>
  <si>
    <t>Client name</t>
  </si>
  <si>
    <t>First check on</t>
  </si>
  <si>
    <t>Second check on</t>
  </si>
  <si>
    <t>Payroll export day</t>
  </si>
  <si>
    <t>Bulk approve recurring expenses?</t>
  </si>
  <si>
    <r>
      <rPr>
        <rFont val="Arial"/>
        <b/>
        <color rgb="FF97E6E6"/>
        <sz val="12.0"/>
      </rPr>
      <t>Housing cost:</t>
    </r>
    <r>
      <rPr>
        <rFont val="Arial"/>
        <color rgb="FF97E6E6"/>
        <sz val="12.0"/>
      </rPr>
      <t xml:space="preserve"> </t>
    </r>
    <r>
      <rPr>
        <rFont val="Arial"/>
        <color theme="1"/>
        <sz val="12.0"/>
      </rPr>
      <t>Monthly proof of payment needed?</t>
    </r>
  </si>
  <si>
    <r>
      <rPr>
        <rFont val="Arial"/>
        <b/>
        <color rgb="FF97E6E6"/>
        <sz val="12.0"/>
      </rPr>
      <t xml:space="preserve">Housing cost: </t>
    </r>
    <r>
      <rPr>
        <rFont val="Arial"/>
        <color theme="1"/>
        <sz val="12.0"/>
      </rPr>
      <t>&lt;10km range proof needed?</t>
    </r>
  </si>
  <si>
    <t>Validations team e-mail</t>
  </si>
  <si>
    <t>Expected GO LIVE date</t>
  </si>
  <si>
    <t>General additional comments</t>
  </si>
  <si>
    <t>Mobility program(s)</t>
  </si>
  <si>
    <t>Services</t>
  </si>
  <si>
    <t>Reimbursements allowed?</t>
  </si>
  <si>
    <t>Proof is checked by?</t>
  </si>
  <si>
    <t>Additional comments per program?</t>
  </si>
  <si>
    <r>
      <rPr>
        <rFont val="Arial"/>
        <b/>
        <color theme="1"/>
      </rPr>
      <t>Updated controller rules</t>
    </r>
    <r>
      <rPr>
        <rFont val="Arial"/>
        <b/>
        <i/>
        <color theme="1"/>
      </rPr>
      <t xml:space="preserve"> </t>
    </r>
    <r>
      <rPr>
        <rFont val="Arial"/>
        <b val="0"/>
        <i/>
        <color theme="1"/>
      </rPr>
      <t>(these overrule the above mentioned control rules)</t>
    </r>
  </si>
  <si>
    <t xml:space="preserve">Date stamp </t>
  </si>
  <si>
    <t>Additional comments of CSM</t>
  </si>
  <si>
    <t>first_name</t>
  </si>
  <si>
    <t>last_name</t>
  </si>
  <si>
    <t>phone_number</t>
  </si>
  <si>
    <t>phone_number_country_code</t>
  </si>
  <si>
    <t>language</t>
  </si>
  <si>
    <t>gender</t>
  </si>
  <si>
    <t>date_of_birth</t>
  </si>
  <si>
    <t>place_of_birth</t>
  </si>
  <si>
    <t>country_of_birth</t>
  </si>
  <si>
    <t>nationality</t>
  </si>
  <si>
    <t>job_title</t>
  </si>
  <si>
    <t>role</t>
  </si>
  <si>
    <t>start_on</t>
  </si>
  <si>
    <t>address__street</t>
  </si>
  <si>
    <t>address__postal_code</t>
  </si>
  <si>
    <t>address__city</t>
  </si>
  <si>
    <t>address__country_code</t>
  </si>
  <si>
    <t>new_gen</t>
  </si>
  <si>
    <t>group_name</t>
  </si>
  <si>
    <t>invite_on</t>
  </si>
  <si>
    <t>use_physical_card</t>
  </si>
  <si>
    <t>internal_payroll_id</t>
  </si>
  <si>
    <t>cost_center</t>
  </si>
  <si>
    <t>Skipr SA/NV</t>
  </si>
  <si>
    <t>Cantersteen 12</t>
  </si>
  <si>
    <t>1000 Brussels</t>
  </si>
  <si>
    <t>BE0712537551</t>
  </si>
  <si>
    <t>ACCENTURE OPERATIONS CLIENT SERVICES SA</t>
  </si>
  <si>
    <t>Prepayment notice</t>
  </si>
  <si>
    <t>date</t>
  </si>
  <si>
    <t>-</t>
  </si>
  <si>
    <t>Description</t>
  </si>
  <si>
    <t xml:space="preserve">Prepayment Mobility Budget </t>
  </si>
  <si>
    <t>Total hors TVA</t>
  </si>
  <si>
    <t>TVA</t>
  </si>
  <si>
    <t>n/a</t>
  </si>
  <si>
    <t>A payer, TVAc</t>
  </si>
  <si>
    <t xml:space="preserve">Your payment account: 
</t>
  </si>
  <si>
    <t xml:space="preserve">BIC: </t>
  </si>
  <si>
    <t>TRZOFR21</t>
  </si>
  <si>
    <t>👾</t>
  </si>
  <si>
    <t>Raw mapping</t>
  </si>
  <si>
    <t>Skipr team contacts (sheet client information 3.4)</t>
  </si>
  <si>
    <t>Entity name</t>
  </si>
  <si>
    <t>IBAN wallet</t>
  </si>
  <si>
    <t>Hélène</t>
  </si>
  <si>
    <t>Marcq</t>
  </si>
  <si>
    <t>helene@skipr.co</t>
  </si>
  <si>
    <t>+32499349511</t>
  </si>
  <si>
    <t>&lt; To be completed by CSM</t>
  </si>
  <si>
    <t>Maroussia</t>
  </si>
  <si>
    <t>Collette</t>
  </si>
  <si>
    <t>maroussia@skipr.co</t>
  </si>
  <si>
    <t>+32479433369</t>
  </si>
  <si>
    <t>Steve</t>
  </si>
  <si>
    <t>Boutremans</t>
  </si>
  <si>
    <t>steve.boutremans@skipr.co</t>
  </si>
  <si>
    <t>Maxim</t>
  </si>
  <si>
    <t>Snyers</t>
  </si>
  <si>
    <t>maxim@skipr.co</t>
  </si>
  <si>
    <t>+32474573339</t>
  </si>
  <si>
    <t>Charlie</t>
  </si>
  <si>
    <t>Millgate</t>
  </si>
  <si>
    <t>charlie@skipr.co</t>
  </si>
  <si>
    <t>+32492729294</t>
  </si>
  <si>
    <t>Denis</t>
  </si>
  <si>
    <t>Huberland</t>
  </si>
  <si>
    <t>denis@skipr.co</t>
  </si>
  <si>
    <t>+32484555086</t>
  </si>
  <si>
    <t>Victor</t>
  </si>
  <si>
    <t>Rembours</t>
  </si>
  <si>
    <t>victor@skipr.co</t>
  </si>
  <si>
    <t>+33659612262</t>
  </si>
  <si>
    <t>Jerome</t>
  </si>
  <si>
    <t>Dambrain</t>
  </si>
  <si>
    <t>jerome@skipr.co</t>
  </si>
  <si>
    <t>+32499640271</t>
  </si>
  <si>
    <t>Thaïs</t>
  </si>
  <si>
    <t>Launay</t>
  </si>
  <si>
    <t>Thais@skipr.co</t>
  </si>
  <si>
    <t>+33603244564</t>
  </si>
  <si>
    <t>Sum-up of services per program without blanks in between (used in sheet Validation briefing)</t>
  </si>
  <si>
    <t>Program 1</t>
  </si>
  <si>
    <t>Program 2</t>
  </si>
  <si>
    <t>Program 3</t>
  </si>
  <si>
    <t>Program 4</t>
  </si>
  <si>
    <t>Program 5</t>
  </si>
  <si>
    <t>Admin creation file sheet (used to exclude blank hereunder, but also to exclude admins with only access to some entities (see sheet Client Information) and and the ones that are checked as created (see sheet client information)</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</si>
</sst>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dd/mm/yyyy"/>
    <numFmt numFmtId="165" formatCode="d&quot;/&quot;m&quot;/&quot;yy"/>
    <numFmt numFmtId="166" formatCode="dd&quot;/&quot;mm&quot;/&quot;yyyy"/>
    <numFmt numFmtId="167" formatCode="yyyy&quot;-&quot;mm&quot;-&quot;dd"/>
    <numFmt numFmtId="168" formatCode="[$€]#,##0.00"/>
  </numFmts>
  <fonts count="96">
    <font>
      <sz val="10.0"/>
      <color rgb="FF000000"/>
      <name val="Arial"/>
      <scheme val="minor"/>
    </font>
    <font>
      <color theme="1"/>
      <name val="Source Sans 3"/>
    </font>
    <font>
      <b/>
      <sz val="35.0"/>
      <color theme="1"/>
      <name val="Source Sans 3"/>
    </font>
    <font/>
    <font>
      <color theme="1"/>
      <name val="Inter"/>
    </font>
    <font>
      <color theme="1"/>
      <name val="Arial"/>
      <scheme val="minor"/>
    </font>
    <font>
      <b/>
      <sz val="30.0"/>
      <color theme="1"/>
      <name val="Inter"/>
    </font>
    <font>
      <b/>
      <sz val="20.0"/>
      <color theme="1"/>
      <name val="Inter"/>
    </font>
    <font>
      <color rgb="FF666666"/>
      <name val="Inter"/>
    </font>
    <font>
      <b/>
      <sz val="12.0"/>
      <color theme="1"/>
      <name val="Inter"/>
    </font>
    <font>
      <b/>
      <sz val="30.0"/>
      <color rgb="FF222222"/>
      <name val="&quot;Google Sans&quot;"/>
    </font>
    <font>
      <color rgb="FFFFFFFF"/>
      <name val="Inter"/>
    </font>
    <font>
      <color theme="1"/>
      <name val="Arial"/>
    </font>
    <font>
      <i/>
      <color rgb="FF666666"/>
      <name val="Inter"/>
    </font>
    <font>
      <sz val="30.0"/>
      <color theme="1"/>
      <name val="Inter"/>
    </font>
    <font>
      <b/>
      <sz val="10.0"/>
      <color theme="1"/>
      <name val="Inter"/>
    </font>
    <font>
      <i/>
      <sz val="10.0"/>
      <color rgb="FF666666"/>
      <name val="Inter"/>
    </font>
    <font>
      <color rgb="FF686868"/>
      <name val="Inter"/>
    </font>
    <font>
      <i/>
      <color rgb="FF999999"/>
      <name val="Arial"/>
      <scheme val="minor"/>
    </font>
    <font>
      <sz val="10.0"/>
      <color rgb="FFFFFFFF"/>
      <name val="Inter"/>
    </font>
    <font>
      <color rgb="FFD9D9D9"/>
      <name val="Arial"/>
    </font>
    <font>
      <b/>
      <color rgb="FFFFFFFF"/>
      <name val="Inter"/>
    </font>
    <font>
      <b/>
      <color theme="1"/>
      <name val="Inter"/>
    </font>
    <font>
      <sz val="10.0"/>
      <color theme="1"/>
      <name val="Arial"/>
    </font>
    <font>
      <sz val="10.0"/>
      <color theme="1"/>
      <name val="Inter"/>
    </font>
    <font>
      <i/>
      <color theme="1"/>
      <name val="Inter"/>
    </font>
    <font>
      <sz val="35.0"/>
      <color theme="1"/>
      <name val="Source Sans 3"/>
    </font>
    <font>
      <b/>
      <color rgb="FFECFFFF"/>
      <name val="Inter"/>
    </font>
    <font>
      <b/>
      <sz val="12.0"/>
      <color rgb="FFECFFFF"/>
      <name val="Inter"/>
    </font>
    <font>
      <sz val="10.0"/>
      <color rgb="FF46BDC6"/>
      <name val="Inter"/>
    </font>
    <font>
      <b/>
      <color theme="1"/>
      <name val="Arial"/>
    </font>
    <font>
      <i/>
      <sz val="10.0"/>
      <color theme="9"/>
      <name val="Inter"/>
    </font>
    <font>
      <b/>
      <i/>
      <sz val="10.0"/>
      <color rgb="FF666666"/>
      <name val="Inter"/>
    </font>
    <font>
      <sz val="11.0"/>
      <color rgb="FFDAF8F8"/>
      <name val="Inter"/>
    </font>
    <font>
      <b/>
      <sz val="11.0"/>
      <color rgb="FF46BDC6"/>
      <name val="Inter"/>
    </font>
    <font>
      <i/>
      <color rgb="FF999999"/>
      <name val="Google Sans Mono"/>
    </font>
    <font>
      <color rgb="FF999999"/>
      <name val="Inter"/>
    </font>
    <font>
      <color rgb="FF999999"/>
      <name val="Google Sans Mono"/>
    </font>
    <font>
      <sz val="11.0"/>
      <color theme="1"/>
      <name val="Inter"/>
    </font>
    <font>
      <b/>
      <sz val="12.0"/>
      <color rgb="FF46BDC6"/>
      <name val="Inter"/>
    </font>
    <font>
      <i/>
      <sz val="7.0"/>
      <color rgb="FF46BDC6"/>
      <name val="Inter"/>
    </font>
    <font>
      <sz val="10.0"/>
      <color rgb="FF999999"/>
      <name val="Inter"/>
    </font>
    <font>
      <i/>
      <sz val="10.0"/>
      <color rgb="FF46BDC6"/>
      <name val="Inter"/>
    </font>
    <font>
      <sz val="10.0"/>
      <color rgb="FF0F3549"/>
      <name val="Inter"/>
    </font>
    <font>
      <i/>
      <sz val="8.0"/>
      <color theme="9"/>
      <name val="Inter"/>
    </font>
    <font>
      <i/>
      <sz val="8.0"/>
      <color rgb="FF46BDC6"/>
      <name val="Inter"/>
    </font>
    <font>
      <sz val="10.0"/>
      <color rgb="FF000000"/>
      <name val="Inter"/>
    </font>
    <font>
      <sz val="29.0"/>
      <color theme="1"/>
      <name val="Inter"/>
    </font>
    <font>
      <color rgb="FF666666"/>
      <name val="Arial"/>
      <scheme val="minor"/>
    </font>
    <font>
      <sz val="30.0"/>
      <color theme="1"/>
      <name val="Arial"/>
      <scheme val="minor"/>
    </font>
    <font>
      <b/>
      <sz val="10.0"/>
      <color rgb="FF000000"/>
      <name val="Inter"/>
    </font>
    <font>
      <color theme="1"/>
      <name val="Source Sans Pro"/>
    </font>
    <font>
      <i/>
      <color theme="1"/>
      <name val="Arial"/>
    </font>
    <font>
      <b/>
      <i/>
      <color theme="1"/>
      <name val="Arial"/>
    </font>
    <font>
      <u/>
      <color rgb="FF0000FF"/>
    </font>
    <font>
      <u/>
      <color rgb="FF0000FF"/>
    </font>
    <font>
      <b/>
      <color theme="1"/>
      <name val="Arial"/>
      <scheme val="minor"/>
    </font>
    <font>
      <b/>
      <color rgb="FF666666"/>
      <name val="Inter"/>
    </font>
    <font>
      <b/>
      <i/>
      <sz val="12.0"/>
      <color rgb="FF666666"/>
      <name val="Inter"/>
    </font>
    <font>
      <b/>
      <sz val="12.0"/>
      <color rgb="FFFFFFFF"/>
      <name val="Inter"/>
    </font>
    <font>
      <sz val="12.0"/>
      <color rgb="FF222222"/>
      <name val="Inter"/>
    </font>
    <font>
      <i/>
      <color rgb="FF999999"/>
      <name val="Inter"/>
    </font>
    <font>
      <color rgb="FF000000"/>
      <name val="Inter"/>
    </font>
    <font>
      <b/>
      <color rgb="FF000000"/>
      <name val="Inter"/>
    </font>
    <font>
      <color rgb="FFFFFFFF"/>
      <name val="Arial"/>
      <scheme val="minor"/>
    </font>
    <font>
      <b/>
      <color rgb="FFFFFFFF"/>
      <name val="Arial"/>
      <scheme val="minor"/>
    </font>
    <font>
      <sz val="20.0"/>
      <color rgb="FFFFFFFF"/>
      <name val="Arial"/>
      <scheme val="minor"/>
    </font>
    <font>
      <b/>
      <sz val="20.0"/>
      <color rgb="FFFFFFFF"/>
      <name val="Arial"/>
      <scheme val="minor"/>
    </font>
    <font>
      <sz val="17.0"/>
      <color theme="1"/>
      <name val="Arial"/>
    </font>
    <font>
      <sz val="17.0"/>
      <color theme="1"/>
      <name val="Arial"/>
      <scheme val="minor"/>
    </font>
    <font>
      <color rgb="FF1F1F1F"/>
      <name val="Arial"/>
      <scheme val="minor"/>
    </font>
    <font>
      <i/>
      <color rgb="FF666666"/>
      <name val="Arial"/>
      <scheme val="minor"/>
    </font>
    <font>
      <sz val="9.0"/>
      <color theme="1"/>
      <name val="Arial"/>
      <scheme val="minor"/>
    </font>
    <font>
      <b/>
      <sz val="17.0"/>
      <color theme="1"/>
      <name val="Arial"/>
      <scheme val="minor"/>
    </font>
    <font>
      <color rgb="FFB7B7B7"/>
      <name val="Arial"/>
    </font>
    <font>
      <b/>
      <sz val="27.0"/>
      <color rgb="FFFFFFFF"/>
      <name val="Inter"/>
    </font>
    <font>
      <b/>
      <sz val="30.0"/>
      <color rgb="FFFFFFFF"/>
      <name val="Inter"/>
    </font>
    <font>
      <sz val="11.0"/>
      <color rgb="FFFFFFFF"/>
      <name val="Arial"/>
      <scheme val="minor"/>
    </font>
    <font>
      <sz val="12.0"/>
      <color theme="1"/>
      <name val="Arial"/>
      <scheme val="minor"/>
    </font>
    <font>
      <sz val="13.0"/>
      <color theme="1"/>
      <name val="Arial"/>
      <scheme val="minor"/>
    </font>
    <font>
      <color theme="1"/>
      <name val="&quot;Google Sans Mono&quot;"/>
    </font>
    <font>
      <color rgb="FFFFFFFF"/>
      <name val="Arial"/>
    </font>
    <font>
      <sz val="10.0"/>
      <color theme="1"/>
      <name val="Arial"/>
      <scheme val="minor"/>
    </font>
    <font>
      <b/>
      <i/>
      <sz val="28.0"/>
      <color rgb="FFFC8373"/>
      <name val="Calibri"/>
    </font>
    <font>
      <i/>
      <sz val="11.0"/>
      <color theme="1"/>
      <name val="Calibri"/>
    </font>
    <font>
      <i/>
      <color theme="1"/>
      <name val="Calibri"/>
    </font>
    <font>
      <b/>
      <sz val="16.0"/>
      <color theme="1"/>
      <name val="Arial"/>
    </font>
    <font>
      <sz val="11.0"/>
      <color theme="1"/>
      <name val="Calibri"/>
    </font>
    <font>
      <b/>
      <i/>
      <sz val="11.0"/>
      <color theme="1"/>
      <name val="Calibri"/>
    </font>
    <font>
      <b/>
      <sz val="11.0"/>
      <color theme="1"/>
      <name val="Calibri"/>
    </font>
    <font>
      <b/>
      <sz val="11.0"/>
      <color theme="1"/>
      <name val="Arial"/>
    </font>
    <font>
      <sz val="11.0"/>
      <color theme="1"/>
      <name val="Arial"/>
    </font>
    <font>
      <b/>
      <sz val="30.0"/>
      <color rgb="FFFFFFFF"/>
      <name val="Arial"/>
      <scheme val="minor"/>
    </font>
    <font>
      <color rgb="FF818283"/>
      <name val="ContentRegular"/>
    </font>
    <font>
      <sz val="12.0"/>
      <color rgb="FF252321"/>
      <name val="ContentRegular"/>
    </font>
    <font>
      <color rgb="FF1F1F1F"/>
      <name val="Arial"/>
    </font>
  </fonts>
  <fills count="20">
    <fill>
      <patternFill patternType="none"/>
    </fill>
    <fill>
      <patternFill patternType="lightGray"/>
    </fill>
    <fill>
      <patternFill patternType="solid">
        <fgColor rgb="FF0F3549"/>
        <bgColor rgb="FF0F3549"/>
      </patternFill>
    </fill>
    <fill>
      <patternFill patternType="solid">
        <fgColor rgb="FFD9D9D9"/>
        <bgColor rgb="FFD9D9D9"/>
      </patternFill>
    </fill>
    <fill>
      <patternFill patternType="solid">
        <fgColor rgb="FFFFFFFF"/>
        <bgColor rgb="FFFFFFFF"/>
      </patternFill>
    </fill>
    <fill>
      <patternFill patternType="solid">
        <fgColor rgb="FFC6F4F4"/>
        <bgColor rgb="FFC6F4F4"/>
      </patternFill>
    </fill>
    <fill>
      <patternFill patternType="solid">
        <fgColor rgb="FFECFFFF"/>
        <bgColor rgb="FFECFFFF"/>
      </patternFill>
    </fill>
    <fill>
      <patternFill patternType="solid">
        <fgColor rgb="FFDAF8F8"/>
        <bgColor rgb="FFDAF8F8"/>
      </patternFill>
    </fill>
    <fill>
      <patternFill patternType="solid">
        <fgColor rgb="FFFFF0B4"/>
        <bgColor rgb="FFFFF0B4"/>
      </patternFill>
    </fill>
    <fill>
      <patternFill patternType="solid">
        <fgColor rgb="FFFFF7D8"/>
        <bgColor rgb="FFFFF7D8"/>
      </patternFill>
    </fill>
    <fill>
      <patternFill patternType="solid">
        <fgColor rgb="FFF3F3F3"/>
        <bgColor rgb="FFF3F3F3"/>
      </patternFill>
    </fill>
    <fill>
      <patternFill patternType="solid">
        <fgColor rgb="FFEFEFEF"/>
        <bgColor rgb="FFEFEFEF"/>
      </patternFill>
    </fill>
    <fill>
      <patternFill patternType="solid">
        <fgColor rgb="FF97E6E6"/>
        <bgColor rgb="FF97E6E6"/>
      </patternFill>
    </fill>
    <fill>
      <patternFill patternType="solid">
        <fgColor rgb="FF76A5AF"/>
        <bgColor rgb="FF76A5AF"/>
      </patternFill>
    </fill>
    <fill>
      <patternFill patternType="solid">
        <fgColor rgb="FFDDF2F0"/>
        <bgColor rgb="FFDDF2F0"/>
      </patternFill>
    </fill>
    <fill>
      <patternFill patternType="solid">
        <fgColor rgb="FFE0F7FA"/>
        <bgColor rgb="FFE0F7FA"/>
      </patternFill>
    </fill>
    <fill>
      <patternFill patternType="solid">
        <fgColor rgb="FFCFE2F3"/>
        <bgColor rgb="FFCFE2F3"/>
      </patternFill>
    </fill>
    <fill>
      <patternFill patternType="solid">
        <fgColor rgb="FFBDBDBD"/>
        <bgColor rgb="FFBDBDBD"/>
      </patternFill>
    </fill>
    <fill>
      <patternFill patternType="solid">
        <fgColor rgb="FFF2F2F2"/>
        <bgColor rgb="FFF2F2F2"/>
      </patternFill>
    </fill>
    <fill>
      <patternFill patternType="solid">
        <fgColor theme="8"/>
        <bgColor theme="8"/>
      </patternFill>
    </fill>
  </fills>
  <borders count="243">
    <border/>
    <border>
      <left style="thin">
        <color rgb="FF0F3549"/>
      </left>
      <right style="thin">
        <color rgb="FF0F3549"/>
      </right>
      <top style="thin">
        <color rgb="FF0F3549"/>
      </top>
      <bottom style="thin">
        <color rgb="FF0F3549"/>
      </bottom>
    </border>
    <border>
      <right style="thin">
        <color rgb="FFFFFFFF"/>
      </right>
      <bottom style="thin">
        <color rgb="FFFFFFFF"/>
      </bottom>
    </border>
    <border>
      <left style="thin">
        <color rgb="FFFFFFFF"/>
      </left>
      <right style="thin">
        <color rgb="FFFFFFFF"/>
      </right>
      <bottom style="thin">
        <color rgb="FFFFFFFF"/>
      </bottom>
    </border>
    <border>
      <left style="thin">
        <color rgb="FFFFFFFF"/>
      </left>
      <right style="thin">
        <color rgb="FFFFFFFF"/>
      </right>
      <top style="thin">
        <color rgb="FFFFFFFF"/>
      </top>
      <bottom style="thin">
        <color rgb="FFFFFFFF"/>
      </bottom>
    </border>
    <border>
      <left style="thin">
        <color rgb="FFFFFFFF"/>
      </left>
      <bottom style="thin">
        <color rgb="FFFFFFFF"/>
      </bottom>
    </border>
    <border>
      <left style="thin">
        <color rgb="FFFFFFFF"/>
      </left>
      <top style="thin">
        <color rgb="FFFFFFFF"/>
      </top>
      <bottom style="thin">
        <color rgb="FFFFFFFF"/>
      </bottom>
    </border>
    <border>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rder>
    <border>
      <right style="thin">
        <color rgb="FFFFFFFF"/>
      </right>
    </border>
    <border>
      <bottom style="thin">
        <color rgb="FFFFFFFF"/>
      </bottom>
    </border>
    <border>
      <top style="thin">
        <color rgb="FFFFFFFF"/>
      </top>
      <bottom style="thin">
        <color rgb="FFFFFFFF"/>
      </bottom>
    </border>
    <border>
      <left style="thin">
        <color rgb="FFFFFFFF"/>
      </left>
      <right style="thin">
        <color rgb="FFFFFFFF"/>
      </right>
      <top style="thin">
        <color rgb="FFFFFFFF"/>
      </top>
    </border>
    <border>
      <top style="thick">
        <color rgb="FFFFFFFF"/>
      </top>
      <bottom style="thick">
        <color rgb="FFFFFFFF"/>
      </bottom>
    </border>
    <border>
      <left style="thin">
        <color rgb="FFFFFFFF"/>
      </left>
      <top style="thick">
        <color rgb="FFFFFFFF"/>
      </top>
      <bottom style="thick">
        <color rgb="FFFFFFFF"/>
      </bottom>
    </border>
    <border>
      <left style="thin">
        <color rgb="FFFFFFFF"/>
      </left>
      <right style="thin">
        <color rgb="FFFFFFFF"/>
      </right>
    </border>
    <border>
      <left style="thin">
        <color rgb="FFFFFFFF"/>
      </left>
      <right/>
      <top/>
      <bottom style="thin">
        <color rgb="FFFFFFFF"/>
      </bottom>
    </border>
    <border>
      <left style="thin">
        <color rgb="FFFFFFFF"/>
      </left>
      <right/>
      <top style="thin">
        <color rgb="FFFFFFFF"/>
      </top>
      <bottom style="thin">
        <color rgb="FFFFFFFF"/>
      </bottom>
    </border>
    <border>
      <left style="thin">
        <color rgb="FFFFF0B4"/>
      </left>
      <right style="thin">
        <color rgb="FFFFF0B4"/>
      </right>
      <top style="thin">
        <color rgb="FFFFFFFF"/>
      </top>
      <bottom style="thin">
        <color rgb="FFFFFFFF"/>
      </bottom>
    </border>
    <border>
      <left style="thin">
        <color rgb="FFFFF0B4"/>
      </left>
      <right style="thin">
        <color rgb="FFFFFFFF"/>
      </right>
      <top style="thin">
        <color rgb="FFFFFFFF"/>
      </top>
      <bottom style="thin">
        <color rgb="FFFFFFFF"/>
      </bottom>
    </border>
    <border>
      <right style="thin">
        <color rgb="FFDAF8F8"/>
      </right>
      <top style="thin">
        <color rgb="FFFFFFFF"/>
      </top>
      <bottom style="thin">
        <color rgb="FFFFFFFF"/>
      </bottom>
    </border>
    <border>
      <left style="thin">
        <color rgb="FFDAF8F8"/>
      </left>
      <top style="thin">
        <color rgb="FFFFFFFF"/>
      </top>
      <bottom style="thin">
        <color rgb="FFFFFFFF"/>
      </bottom>
    </border>
    <border>
      <right style="thin">
        <color rgb="FFFFF0B4"/>
      </right>
      <top style="thin">
        <color rgb="FFFFFFFF"/>
      </top>
      <bottom style="thin">
        <color rgb="FFFFFFFF"/>
      </bottom>
    </border>
    <border>
      <left style="thin">
        <color rgb="FFFFF0B4"/>
      </left>
      <bottom style="thin">
        <color rgb="FFFFFFFF"/>
      </bottom>
    </border>
    <border>
      <left style="thin">
        <color rgb="FFFFF0B4"/>
      </left>
      <top style="thin">
        <color rgb="FFFFFFFF"/>
      </top>
      <bottom style="thin">
        <color rgb="FFFFFFFF"/>
      </bottom>
    </border>
    <border>
      <left style="thin">
        <color rgb="FFFFFFFF"/>
      </left>
      <top style="thin">
        <color rgb="FFFFFFFF"/>
      </top>
      <bottom style="thin">
        <color rgb="FFFFF7D8"/>
      </bottom>
    </border>
    <border>
      <top style="thin">
        <color rgb="FFFFFFFF"/>
      </top>
      <bottom style="thin">
        <color rgb="FFFFF7D8"/>
      </bottom>
    </border>
    <border>
      <right style="thin">
        <color rgb="FFFFF7D8"/>
      </right>
      <top style="thin">
        <color rgb="FFFFFFFF"/>
      </top>
      <bottom style="thin">
        <color rgb="FFFFF7D8"/>
      </bottom>
    </border>
    <border>
      <left style="thin">
        <color rgb="FFFFF7D8"/>
      </left>
      <top style="thin">
        <color rgb="FFFFF7D8"/>
      </top>
      <bottom style="thin">
        <color rgb="FFFFF7D8"/>
      </bottom>
    </border>
    <border>
      <right style="thin">
        <color rgb="FFFFFFFF"/>
      </right>
      <top style="thin">
        <color rgb="FFFFF7D8"/>
      </top>
      <bottom style="thin">
        <color rgb="FFFFF7D8"/>
      </bottom>
    </border>
    <border>
      <left style="thin">
        <color rgb="FFFFFFFF"/>
      </left>
      <top style="thin">
        <color rgb="FFFFF7D8"/>
      </top>
      <bottom style="thin">
        <color rgb="FFFFFFFF"/>
      </bottom>
    </border>
    <border>
      <top style="thin">
        <color rgb="FFFFF7D8"/>
      </top>
      <bottom style="thin">
        <color rgb="FFFFFFFF"/>
      </bottom>
    </border>
    <border>
      <right style="thin">
        <color rgb="FFFFF7D8"/>
      </right>
      <top style="thin">
        <color rgb="FFFFF7D8"/>
      </top>
      <bottom style="thin">
        <color rgb="FFFFFFFF"/>
      </bottom>
    </border>
    <border>
      <left style="thin">
        <color rgb="FFFFFFFF"/>
      </left>
      <top style="thin">
        <color rgb="FFFFFFFF"/>
      </top>
      <bottom style="thin">
        <color rgb="FFECFFFF"/>
      </bottom>
    </border>
    <border>
      <top style="thin">
        <color rgb="FFFFFFFF"/>
      </top>
      <bottom style="thin">
        <color rgb="FFECFFFF"/>
      </bottom>
    </border>
    <border>
      <right style="thin">
        <color rgb="FFECFFFF"/>
      </right>
      <top style="thin">
        <color rgb="FFFFFFFF"/>
      </top>
      <bottom style="thin">
        <color rgb="FFECFFFF"/>
      </bottom>
    </border>
    <border>
      <left style="thin">
        <color rgb="FFECFFFF"/>
      </left>
      <top style="thin">
        <color rgb="FFFFFFFF"/>
      </top>
      <bottom style="thin">
        <color rgb="FFECFFFF"/>
      </bottom>
    </border>
    <border>
      <right style="thin">
        <color rgb="FFFFFFFF"/>
      </right>
      <top style="thin">
        <color rgb="FFFFFFFF"/>
      </top>
      <bottom style="thin">
        <color rgb="FFECFFFF"/>
      </bottom>
    </border>
    <border>
      <left style="thin">
        <color rgb="FFFFFFFF"/>
      </left>
      <top style="thin">
        <color rgb="FFECFFFF"/>
      </top>
      <bottom style="thin">
        <color rgb="FFECFFFF"/>
      </bottom>
    </border>
    <border>
      <top style="thin">
        <color rgb="FFECFFFF"/>
      </top>
      <bottom style="thin">
        <color rgb="FFECFFFF"/>
      </bottom>
    </border>
    <border>
      <right style="thin">
        <color rgb="FFECFFFF"/>
      </right>
      <top style="thin">
        <color rgb="FFECFFFF"/>
      </top>
      <bottom style="thin">
        <color rgb="FFECFFFF"/>
      </bottom>
    </border>
    <border>
      <left style="thin">
        <color rgb="FFECFFFF"/>
      </left>
      <top style="thin">
        <color rgb="FFECFFFF"/>
      </top>
      <bottom style="thin">
        <color rgb="FFECFFFF"/>
      </bottom>
    </border>
    <border>
      <right style="thin">
        <color rgb="FFFFFFFF"/>
      </right>
      <top style="thin">
        <color rgb="FFECFFFF"/>
      </top>
      <bottom style="thin">
        <color rgb="FFECFFFF"/>
      </bottom>
    </border>
    <border>
      <left style="thin">
        <color rgb="FFFFFFFF"/>
      </left>
      <top style="thin">
        <color rgb="FFECFFFF"/>
      </top>
      <bottom style="thin">
        <color rgb="FFFFFFFF"/>
      </bottom>
    </border>
    <border>
      <top style="thin">
        <color rgb="FFECFFFF"/>
      </top>
      <bottom style="thin">
        <color rgb="FFFFFFFF"/>
      </bottom>
    </border>
    <border>
      <right style="thin">
        <color rgb="FFECFFFF"/>
      </right>
      <top style="thin">
        <color rgb="FFECFFFF"/>
      </top>
      <bottom style="thin">
        <color rgb="FFFFFFFF"/>
      </bottom>
    </border>
    <border>
      <left style="thin">
        <color rgb="FFECFFFF"/>
      </left>
      <top style="thin">
        <color rgb="FFECFFFF"/>
      </top>
      <bottom style="thin">
        <color rgb="FFFFF7D8"/>
      </bottom>
    </border>
    <border>
      <right style="thin">
        <color rgb="FFFFFFFF"/>
      </right>
      <top style="thin">
        <color rgb="FFECFFFF"/>
      </top>
      <bottom style="thin">
        <color rgb="FFFFF7D8"/>
      </bottom>
    </border>
    <border>
      <left style="thin">
        <color rgb="FFFFF7D8"/>
      </left>
      <top style="thin">
        <color rgb="FFFFFFFF"/>
      </top>
      <bottom style="thin">
        <color rgb="FFFFF7D8"/>
      </bottom>
    </border>
    <border>
      <right style="thin">
        <color rgb="FFFFFFFF"/>
      </right>
      <top style="thin">
        <color rgb="FFFFFFFF"/>
      </top>
      <bottom style="thin">
        <color rgb="FFFFF7D8"/>
      </bottom>
    </border>
    <border>
      <left style="thin">
        <color rgb="FFFFFFFF"/>
      </left>
      <top style="thin">
        <color rgb="FFFFF7D8"/>
      </top>
      <bottom style="thin">
        <color rgb="FFFFF7D8"/>
      </bottom>
    </border>
    <border>
      <top style="thin">
        <color rgb="FFFFF7D8"/>
      </top>
      <bottom style="thin">
        <color rgb="FFFFF7D8"/>
      </bottom>
    </border>
    <border>
      <right style="thin">
        <color rgb="FFFFF7D8"/>
      </right>
      <top style="thin">
        <color rgb="FFFFF7D8"/>
      </top>
      <bottom style="thin">
        <color rgb="FFFFF7D8"/>
      </bottom>
    </border>
    <border>
      <right style="thin">
        <color rgb="FFC6F4F4"/>
      </right>
      <top style="thin">
        <color rgb="FFFFFFFF"/>
      </top>
    </border>
    <border>
      <left style="thick">
        <color rgb="FFFFFFFF"/>
      </left>
      <top style="thick">
        <color rgb="FFFFFFFF"/>
      </top>
      <bottom style="thin">
        <color rgb="FFECFFFF"/>
      </bottom>
    </border>
    <border>
      <top style="thick">
        <color rgb="FFFFFFFF"/>
      </top>
      <bottom style="thin">
        <color rgb="FFECFFFF"/>
      </bottom>
    </border>
    <border>
      <right style="thick">
        <color rgb="FFFFFFFF"/>
      </right>
      <top style="thick">
        <color rgb="FFFFFFFF"/>
      </top>
      <bottom style="thin">
        <color rgb="FFECFFFF"/>
      </bottom>
    </border>
    <border>
      <left style="thick">
        <color rgb="FFFFFFFF"/>
      </left>
      <right style="thin">
        <color rgb="FFECFFFF"/>
      </right>
      <top style="thin">
        <color rgb="FFECFFFF"/>
      </top>
      <bottom style="thin">
        <color rgb="FFECFFFF"/>
      </bottom>
    </border>
    <border>
      <left style="thin">
        <color rgb="FFECFFFF"/>
      </left>
      <right style="thin">
        <color rgb="FFECFFFF"/>
      </right>
      <top style="thin">
        <color rgb="FFECFFFF"/>
      </top>
      <bottom style="thin">
        <color rgb="FFECFFFF"/>
      </bottom>
    </border>
    <border>
      <right style="thick">
        <color rgb="FFFFFFFF"/>
      </right>
      <top style="thin">
        <color rgb="FFECFFFF"/>
      </top>
      <bottom style="thin">
        <color rgb="FFECFFFF"/>
      </bottom>
    </border>
    <border>
      <left style="thin">
        <color rgb="FFFFFFFF"/>
      </left>
      <right style="thick">
        <color rgb="FFFFFFFF"/>
      </right>
      <top style="thin">
        <color rgb="FFFFFFFF"/>
      </top>
      <bottom style="thick">
        <color rgb="FFFFFFFF"/>
      </bottom>
    </border>
    <border>
      <left style="thick">
        <color rgb="FFFFFFFF"/>
      </left>
      <right style="thin">
        <color rgb="FFFFFFFF"/>
      </right>
      <top style="thin">
        <color rgb="FFFFFFFF"/>
      </top>
      <bottom style="thick">
        <color rgb="FFFFFFFF"/>
      </bottom>
    </border>
    <border>
      <left style="thin">
        <color rgb="FFECFFFF"/>
      </left>
      <top style="thin">
        <color rgb="FFECFFFF"/>
      </top>
      <bottom style="thin">
        <color rgb="FFFFFFFF"/>
      </bottom>
    </border>
    <border>
      <right style="thick">
        <color rgb="FFFFFFFF"/>
      </right>
      <top style="thin">
        <color rgb="FFECFFFF"/>
      </top>
      <bottom style="thin">
        <color rgb="FFFFFFFF"/>
      </bottom>
    </border>
    <border>
      <left style="thick">
        <color rgb="FFFFFFFF"/>
      </left>
      <right style="thick">
        <color rgb="FFFFFFFF"/>
      </right>
      <top style="thick">
        <color rgb="FFFFFFFF"/>
      </top>
      <bottom style="thick">
        <color rgb="FFFFFFFF"/>
      </bottom>
    </border>
    <border>
      <left style="thick">
        <color rgb="FFFFFFFF"/>
      </left>
      <right style="thin">
        <color rgb="FFFFFFFF"/>
      </right>
      <top style="thick">
        <color rgb="FFFFFFFF"/>
      </top>
      <bottom style="thick">
        <color rgb="FFFFFFFF"/>
      </bottom>
    </border>
    <border>
      <left style="thin">
        <color rgb="FFFFFFFF"/>
      </left>
      <top style="thin">
        <color rgb="FFFFFFFF"/>
      </top>
      <bottom style="medium">
        <color rgb="FFFFFFFF"/>
      </bottom>
    </border>
    <border>
      <left style="thick">
        <color rgb="FFFFFFFF"/>
      </left>
      <right style="thin">
        <color rgb="FFECFFFF"/>
      </right>
      <top style="thin">
        <color rgb="FFECFFFF"/>
      </top>
      <bottom style="thick">
        <color rgb="FFFFFFFF"/>
      </bottom>
    </border>
    <border>
      <left style="thin">
        <color rgb="FFECFFFF"/>
      </left>
      <right style="thin">
        <color rgb="FFECFFFF"/>
      </right>
      <top style="thin">
        <color rgb="FFECFFFF"/>
      </top>
      <bottom style="thick">
        <color rgb="FFFFFFFF"/>
      </bottom>
    </border>
    <border>
      <left style="thin">
        <color rgb="FFECFFFF"/>
      </left>
      <top style="thin">
        <color rgb="FFECFFFF"/>
      </top>
      <bottom style="thick">
        <color rgb="FFFFFFFF"/>
      </bottom>
    </border>
    <border>
      <left style="thin">
        <color rgb="FFFFFFFF"/>
      </left>
      <top style="thin">
        <color rgb="FFFFFFFF"/>
      </top>
      <bottom style="thick">
        <color rgb="FFFFFFFF"/>
      </bottom>
    </border>
    <border>
      <right style="thick">
        <color rgb="FFFFFFFF"/>
      </right>
      <top style="thin">
        <color rgb="FFFFFFFF"/>
      </top>
      <bottom style="thick">
        <color rgb="FFFFFFFF"/>
      </bottom>
    </border>
    <border>
      <left style="thin">
        <color rgb="FFFFF0B4"/>
      </left>
      <right style="thick">
        <color rgb="FFFFFFFF"/>
      </right>
      <top style="thick">
        <color rgb="FFFFFFFF"/>
      </top>
      <bottom style="thick">
        <color rgb="FFFFFFFF"/>
      </bottom>
    </border>
    <border>
      <left style="thin">
        <color rgb="FFFFFFFF"/>
      </left>
      <top style="medium">
        <color rgb="FFFFFFFF"/>
      </top>
      <bottom style="medium">
        <color rgb="FFFFFFFF"/>
      </bottom>
    </border>
    <border>
      <right style="thin">
        <color rgb="FFFFFFFF"/>
      </right>
      <top style="thin">
        <color rgb="FFFFFFFF"/>
      </top>
      <bottom style="medium">
        <color rgb="FFFFFFFF"/>
      </bottom>
    </border>
    <border>
      <left style="thin">
        <color rgb="FFFFFFFF"/>
      </left>
      <right style="thick">
        <color rgb="FFFFFFFF"/>
      </right>
      <top style="thick">
        <color rgb="FFFFFFFF"/>
      </top>
      <bottom style="thick">
        <color rgb="FFFFFFFF"/>
      </bottom>
    </border>
    <border>
      <left style="thick">
        <color rgb="FFFFFFFF"/>
      </left>
      <right style="thin">
        <color rgb="FFFFFFFF"/>
      </right>
      <top style="thick">
        <color rgb="FFFFFFFF"/>
      </top>
      <bottom style="thin">
        <color rgb="FFFFFFFF"/>
      </bottom>
    </border>
    <border>
      <left style="thin">
        <color rgb="FFFFFFFF"/>
      </left>
      <top style="medium">
        <color rgb="FFFFFFFF"/>
      </top>
    </border>
    <border>
      <left style="thick">
        <color rgb="FFFFFFFF"/>
      </left>
      <top style="thin">
        <color rgb="FFECFFFF"/>
      </top>
      <bottom style="thin">
        <color rgb="FFECFFFF"/>
      </bottom>
    </border>
    <border>
      <left style="thin">
        <color rgb="FFECFFFF"/>
      </left>
      <right style="thick">
        <color rgb="FFFFFFFF"/>
      </right>
      <top style="thin">
        <color rgb="FFECFFFF"/>
      </top>
      <bottom style="thin">
        <color rgb="FFECFFFF"/>
      </bottom>
    </border>
    <border>
      <right style="thin">
        <color rgb="FFFFFFFF"/>
      </right>
      <top style="medium">
        <color rgb="FFFFFFFF"/>
      </top>
      <bottom style="medium">
        <color rgb="FFFFFFFF"/>
      </bottom>
    </border>
    <border>
      <left style="thin">
        <color rgb="FFFFFFFF"/>
      </left>
      <right style="thick">
        <color rgb="FFFFFFFF"/>
      </right>
      <top style="thick">
        <color rgb="FFFFFFFF"/>
      </top>
      <bottom style="thin">
        <color rgb="FFFFFFFF"/>
      </bottom>
    </border>
    <border>
      <left style="thick">
        <color rgb="FFFFFFFF"/>
      </left>
      <top style="thin">
        <color rgb="FFECFFFF"/>
      </top>
      <bottom style="thin">
        <color rgb="FFFFFFFF"/>
      </bottom>
    </border>
    <border>
      <left style="thin">
        <color rgb="FFECFFFF"/>
      </left>
      <right style="thin">
        <color rgb="FFECFFFF"/>
      </right>
      <top style="thin">
        <color rgb="FFECFFFF"/>
      </top>
    </border>
    <border>
      <left style="thin">
        <color rgb="FFECFFFF"/>
      </left>
      <right style="thick">
        <color rgb="FFFFFFFF"/>
      </right>
      <top style="thin">
        <color rgb="FFECFFFF"/>
      </top>
    </border>
    <border>
      <left style="thick">
        <color rgb="FFFFFFFF"/>
      </left>
      <top style="thin">
        <color rgb="FFFFFFFF"/>
      </top>
      <bottom style="thin">
        <color rgb="FFFFFFFF"/>
      </bottom>
    </border>
    <border>
      <left style="thin">
        <color rgb="FFFFFFFF"/>
      </left>
      <right style="thick">
        <color rgb="FFFFFFFF"/>
      </right>
      <top style="thin">
        <color rgb="FFFFFFFF"/>
      </top>
      <bottom style="thin">
        <color rgb="FFFFFFFF"/>
      </bottom>
    </border>
    <border>
      <left style="thin">
        <color rgb="FFFFFFFF"/>
      </left>
      <bottom style="medium">
        <color rgb="FFFFFFFF"/>
      </bottom>
    </border>
    <border>
      <left style="thick">
        <color rgb="FFFFFFFF"/>
      </left>
      <top style="thin">
        <color rgb="FFFFFFFF"/>
      </top>
      <bottom style="thick">
        <color rgb="FFFFFFFF"/>
      </bottom>
    </border>
    <border>
      <right style="thin">
        <color rgb="FFFFFFFF"/>
      </right>
      <top style="thin">
        <color rgb="FFFFFFFF"/>
      </top>
      <bottom style="thick">
        <color rgb="FFFFFFFF"/>
      </bottom>
    </border>
    <border>
      <left style="thin">
        <color rgb="FFFFFFFF"/>
      </left>
      <right style="thin">
        <color rgb="FFFFFFFF"/>
      </right>
      <top style="thin">
        <color rgb="FFFFFFFF"/>
      </top>
      <bottom style="thick">
        <color rgb="FFFFFFFF"/>
      </bottom>
    </border>
    <border>
      <left style="thin">
        <color rgb="FFFFFFFF"/>
      </left>
      <right style="thin">
        <color rgb="FFFFFFFF"/>
      </right>
      <top style="medium">
        <color rgb="FFFFFFFF"/>
      </top>
      <bottom style="medium">
        <color rgb="FFFFFFFF"/>
      </bottom>
    </border>
    <border>
      <left style="thin">
        <color rgb="FFFFFFFF"/>
      </left>
      <right style="thin">
        <color rgb="FFFFFFFF"/>
      </right>
      <top style="medium">
        <color rgb="FFFFFFFF"/>
      </top>
      <bottom style="thin">
        <color rgb="FFFFFFFF"/>
      </bottom>
    </border>
    <border>
      <right style="thick">
        <color rgb="FFDAF8F8"/>
      </right>
      <top style="thin">
        <color rgb="FFFFFFFF"/>
      </top>
      <bottom style="thin">
        <color rgb="FFFFFFFF"/>
      </bottom>
    </border>
    <border>
      <left style="thick">
        <color rgb="FFDAF8F8"/>
      </left>
      <top style="thin">
        <color rgb="FFFFFFFF"/>
      </top>
      <bottom style="thin">
        <color rgb="FFFFFFFF"/>
      </bottom>
    </border>
    <border>
      <right style="thin">
        <color rgb="FF000000"/>
      </right>
      <top style="thin">
        <color rgb="FFFFFFFF"/>
      </top>
      <bottom style="thin">
        <color rgb="FFFFFFFF"/>
      </bottom>
    </border>
    <border>
      <left style="thin">
        <color rgb="FF000000"/>
      </left>
      <right style="thin">
        <color rgb="FFDAF8F8"/>
      </right>
      <top style="thin">
        <color rgb="FFFFFFFF"/>
      </top>
      <bottom style="thin">
        <color rgb="FFFFFFFF"/>
      </bottom>
    </border>
    <border>
      <left style="thin">
        <color rgb="FFFFF7D8"/>
      </left>
      <top style="thin">
        <color rgb="FFFFF7D8"/>
      </top>
    </border>
    <border>
      <right style="thin">
        <color rgb="FFFFFFFF"/>
      </right>
      <top style="thin">
        <color rgb="FFFFF7D8"/>
      </top>
    </border>
    <border>
      <left style="thin">
        <color rgb="FF0F3549"/>
      </left>
      <top style="thin">
        <color rgb="FF0F3549"/>
      </top>
      <bottom style="thin">
        <color rgb="FFFFFFFF"/>
      </bottom>
    </border>
    <border>
      <top style="thin">
        <color rgb="FF0F3549"/>
      </top>
      <bottom style="thin">
        <color rgb="FFFFFFFF"/>
      </bottom>
    </border>
    <border>
      <right style="thin">
        <color rgb="FF0F3549"/>
      </right>
      <top style="thin">
        <color rgb="FF0F3549"/>
      </top>
      <bottom style="thin">
        <color rgb="FFFFFFFF"/>
      </bottom>
    </border>
    <border>
      <left style="thin">
        <color rgb="FF0F3549"/>
      </left>
      <top style="thin">
        <color rgb="FFFFFFFF"/>
      </top>
    </border>
    <border>
      <right style="thin">
        <color rgb="FF0F3549"/>
      </right>
      <top style="thin">
        <color rgb="FFFFFFFF"/>
      </top>
    </border>
    <border>
      <left style="thin">
        <color rgb="FF0F3549"/>
      </left>
    </border>
    <border>
      <right style="thin">
        <color rgb="FF0F3549"/>
      </right>
    </border>
    <border>
      <left style="thin">
        <color rgb="FF0F3549"/>
      </left>
      <top style="thin">
        <color rgb="FF0F3549"/>
      </top>
      <bottom style="thin">
        <color rgb="FFC6F4F4"/>
      </bottom>
    </border>
    <border>
      <top style="thin">
        <color rgb="FF0F3549"/>
      </top>
      <bottom style="thin">
        <color rgb="FFC6F4F4"/>
      </bottom>
    </border>
    <border>
      <right style="thin">
        <color rgb="FFFFFFFF"/>
      </right>
      <top style="thin">
        <color rgb="FF0F3549"/>
      </top>
      <bottom style="thin">
        <color rgb="FFC6F4F4"/>
      </bottom>
    </border>
    <border>
      <left style="thin">
        <color rgb="FFFFFFFF"/>
      </left>
      <top style="thin">
        <color rgb="FF0F3549"/>
      </top>
      <bottom style="thin">
        <color rgb="FFEFEFEF"/>
      </bottom>
    </border>
    <border>
      <right style="thin">
        <color rgb="FF0F3549"/>
      </right>
      <top style="thin">
        <color rgb="FF0F3549"/>
      </top>
      <bottom style="thin">
        <color rgb="FFEFEFEF"/>
      </bottom>
    </border>
    <border>
      <left style="thin">
        <color rgb="FF0F3549"/>
      </left>
      <top style="thin">
        <color rgb="FFC6F4F4"/>
      </top>
      <bottom style="thin">
        <color rgb="FFC6F4F4"/>
      </bottom>
    </border>
    <border>
      <top style="thin">
        <color rgb="FFC6F4F4"/>
      </top>
      <bottom style="thin">
        <color rgb="FFC6F4F4"/>
      </bottom>
    </border>
    <border>
      <right style="thin">
        <color rgb="FFFFFFFF"/>
      </right>
      <top style="thin">
        <color rgb="FFC6F4F4"/>
      </top>
      <bottom style="thin">
        <color rgb="FFC6F4F4"/>
      </bottom>
    </border>
    <border>
      <left style="thin">
        <color rgb="FFFFFFFF"/>
      </left>
      <top style="thin">
        <color rgb="FFEFEFEF"/>
      </top>
      <bottom style="thin">
        <color rgb="FFEFEFEF"/>
      </bottom>
    </border>
    <border>
      <left style="thin">
        <color rgb="FF0F3549"/>
      </left>
      <bottom style="thin">
        <color rgb="FFECFFFF"/>
      </bottom>
    </border>
    <border>
      <bottom style="thin">
        <color rgb="FFECFFFF"/>
      </bottom>
    </border>
    <border>
      <right style="thin">
        <color rgb="FF0F3549"/>
      </right>
      <bottom style="thin">
        <color rgb="FFECFFFF"/>
      </bottom>
    </border>
    <border>
      <right style="thin">
        <color rgb="FF0F3549"/>
      </right>
      <top style="thin">
        <color rgb="FFEFEFEF"/>
      </top>
      <bottom style="thin">
        <color rgb="FFEFEFEF"/>
      </bottom>
    </border>
    <border>
      <left style="thin">
        <color rgb="FF0F3549"/>
      </left>
      <top style="thin">
        <color rgb="FFECFFFF"/>
      </top>
      <bottom style="thin">
        <color rgb="FFECFFFF"/>
      </bottom>
    </border>
    <border>
      <right style="thin">
        <color rgb="FF0F3549"/>
      </right>
      <top style="thin">
        <color rgb="FFECFFFF"/>
      </top>
      <bottom style="thin">
        <color rgb="FFECFFFF"/>
      </bottom>
    </border>
    <border>
      <left style="thin">
        <color rgb="FF0F3549"/>
      </left>
      <top style="thin">
        <color rgb="FFC6F4F4"/>
      </top>
      <bottom style="thin">
        <color rgb="FF0F3549"/>
      </bottom>
    </border>
    <border>
      <top style="thin">
        <color rgb="FFC6F4F4"/>
      </top>
      <bottom style="thin">
        <color rgb="FF0F3549"/>
      </bottom>
    </border>
    <border>
      <right style="thin">
        <color rgb="FFFFFFFF"/>
      </right>
      <top style="thin">
        <color rgb="FFC6F4F4"/>
      </top>
      <bottom style="thin">
        <color rgb="FF0F3549"/>
      </bottom>
    </border>
    <border>
      <left style="thin">
        <color rgb="FFFFFFFF"/>
      </left>
      <top style="thin">
        <color rgb="FFEFEFEF"/>
      </top>
      <bottom style="thin">
        <color rgb="FF0F3549"/>
      </bottom>
    </border>
    <border>
      <left style="thin">
        <color rgb="FF0F3549"/>
      </left>
      <top style="thin">
        <color rgb="FFECFFFF"/>
      </top>
      <bottom style="thin">
        <color rgb="FF0F3549"/>
      </bottom>
    </border>
    <border>
      <top style="thin">
        <color rgb="FFECFFFF"/>
      </top>
      <bottom style="thin">
        <color rgb="FF0F3549"/>
      </bottom>
    </border>
    <border>
      <right style="thin">
        <color rgb="FF0F3549"/>
      </right>
      <top style="thin">
        <color rgb="FFECFFFF"/>
      </top>
      <bottom style="thin">
        <color rgb="FF0F3549"/>
      </bottom>
    </border>
    <border>
      <right style="thin">
        <color rgb="FF0F3549"/>
      </right>
      <top style="thin">
        <color rgb="FFEFEFEF"/>
      </top>
      <bottom style="thin">
        <color rgb="FF0F3549"/>
      </bottom>
    </border>
    <border>
      <left style="thin">
        <color rgb="FF0F3549"/>
      </left>
      <right style="thin">
        <color rgb="FFFFFFFF"/>
      </right>
    </border>
    <border>
      <left style="thin">
        <color rgb="FFFFFFFF"/>
      </left>
      <right style="thin">
        <color rgb="FF0F3549"/>
      </right>
    </border>
    <border>
      <left style="thin">
        <color rgb="FF0F3549"/>
      </left>
      <right style="thin">
        <color rgb="FFFFFFFF"/>
      </right>
      <bottom style="thin">
        <color rgb="FFECFFFF"/>
      </bottom>
    </border>
    <border>
      <left style="thin">
        <color rgb="FFFFFFFF"/>
      </left>
      <right style="thin">
        <color rgb="FFFFFFFF"/>
      </right>
      <bottom style="thin">
        <color rgb="FFECFFFF"/>
      </bottom>
    </border>
    <border>
      <left style="thin">
        <color rgb="FFFFFFFF"/>
      </left>
      <right style="thin">
        <color rgb="FF0F3549"/>
      </right>
      <bottom style="thin">
        <color rgb="FFECFFFF"/>
      </bottom>
    </border>
    <border>
      <left style="thin">
        <color rgb="FF0F3549"/>
      </left>
      <right style="thin">
        <color rgb="FFFFFFFF"/>
      </right>
      <bottom style="thin">
        <color rgb="FFFFFFFF"/>
      </bottom>
    </border>
    <border>
      <left style="thin">
        <color rgb="FFFFFFFF"/>
      </left>
      <right style="thin">
        <color rgb="FF0F3549"/>
      </right>
      <bottom style="thin">
        <color rgb="FFFFFFFF"/>
      </bottom>
    </border>
    <border>
      <left style="thin">
        <color rgb="FF0F3549"/>
      </left>
      <top style="thin">
        <color rgb="FFFFFFFF"/>
      </top>
      <bottom style="thin">
        <color rgb="FF0F3549"/>
      </bottom>
    </border>
    <border>
      <top style="thin">
        <color rgb="FFFFFFFF"/>
      </top>
      <bottom style="thin">
        <color rgb="FF0F3549"/>
      </bottom>
    </border>
    <border>
      <right style="thin">
        <color rgb="FF0F3549"/>
      </right>
      <top style="thin">
        <color rgb="FFFFFFFF"/>
      </top>
      <bottom style="thin">
        <color rgb="FF0F3549"/>
      </bottom>
    </border>
    <border>
      <left style="thin">
        <color rgb="FF0F3549"/>
      </left>
      <bottom style="thin">
        <color rgb="FF0F3549"/>
      </bottom>
    </border>
    <border>
      <bottom style="thin">
        <color rgb="FF0F3549"/>
      </bottom>
    </border>
    <border>
      <right style="thin">
        <color rgb="FF0F3549"/>
      </right>
      <bottom style="thin">
        <color rgb="FF0F3549"/>
      </bottom>
    </border>
    <border>
      <left style="thin">
        <color rgb="FF0F3549"/>
      </left>
      <top style="thin">
        <color rgb="FF0F3549"/>
      </top>
      <bottom style="thin">
        <color rgb="FF0F3549"/>
      </bottom>
    </border>
    <border>
      <top style="thin">
        <color rgb="FF0F3549"/>
      </top>
      <bottom style="thin">
        <color rgb="FF0F3549"/>
      </bottom>
    </border>
    <border>
      <right style="thin">
        <color rgb="FF76A5AF"/>
      </right>
      <top style="thin">
        <color rgb="FF0F3549"/>
      </top>
      <bottom style="thin">
        <color rgb="FF0F3549"/>
      </bottom>
    </border>
    <border>
      <left style="thin">
        <color rgb="FF76A5AF"/>
      </left>
      <top style="thin">
        <color rgb="FF0F3549"/>
      </top>
      <bottom style="thin">
        <color rgb="FF0F3549"/>
      </bottom>
    </border>
    <border>
      <left style="thin">
        <color rgb="FF76A5AF"/>
      </left>
      <right style="thin">
        <color rgb="FF76A5AF"/>
      </right>
      <top style="thin">
        <color rgb="FF0F3549"/>
      </top>
      <bottom style="thin">
        <color rgb="FF0F3549"/>
      </bottom>
    </border>
    <border>
      <left style="thin">
        <color rgb="FFFFFFFF"/>
      </left>
      <right style="thin">
        <color rgb="FFE0F7FA"/>
      </right>
      <top style="thin">
        <color rgb="FFFFFFFF"/>
      </top>
      <bottom style="thin">
        <color rgb="FFFFFFFF"/>
      </bottom>
    </border>
    <border>
      <left style="thin">
        <color rgb="FFE0F7FA"/>
      </left>
      <top style="thin">
        <color rgb="FFFFFFFF"/>
      </top>
      <bottom style="thin">
        <color rgb="FFFFFFFF"/>
      </bottom>
    </border>
    <border>
      <left style="thin">
        <color rgb="FFFFFFFF"/>
      </left>
      <right style="thin">
        <color rgb="FFECFFFF"/>
      </right>
      <top style="thin">
        <color rgb="FFFFFFFF"/>
      </top>
      <bottom style="thin">
        <color rgb="FFECFFFF"/>
      </bottom>
    </border>
    <border>
      <left style="thin">
        <color rgb="FFFFFFFF"/>
      </left>
      <right style="thin">
        <color rgb="FFECFFFF"/>
      </right>
      <top style="thin">
        <color rgb="FFECFFFF"/>
      </top>
      <bottom style="thin">
        <color rgb="FFECFFFF"/>
      </bottom>
    </border>
    <border>
      <right style="thin">
        <color rgb="FFFFFFFF"/>
      </right>
      <top style="thin">
        <color rgb="FFECFFFF"/>
      </top>
      <bottom style="thin">
        <color rgb="FFFFFFFF"/>
      </bottom>
    </border>
    <border>
      <left style="thin">
        <color rgb="FFFFFFFF"/>
      </left>
      <right style="thin">
        <color rgb="FFECFFFF"/>
      </right>
      <top style="thin">
        <color rgb="FFECFFFF"/>
      </top>
      <bottom style="thin">
        <color rgb="FFFFFFFF"/>
      </bottom>
    </border>
    <border>
      <left style="thin">
        <color rgb="FFECFFFF"/>
      </left>
      <right style="thin">
        <color rgb="FFECFFFF"/>
      </right>
      <top style="thin">
        <color rgb="FFFFFFFF"/>
      </top>
      <bottom style="thin">
        <color rgb="FFECFFFF"/>
      </bottom>
    </border>
    <border>
      <left style="thin">
        <color rgb="FFECFFFF"/>
      </left>
      <right style="thin">
        <color rgb="FFFFFFFF"/>
      </right>
      <top style="thin">
        <color rgb="FFFFFFFF"/>
      </top>
      <bottom style="thin">
        <color rgb="FFECFFFF"/>
      </bottom>
    </border>
    <border>
      <left style="thin">
        <color rgb="FFFFFFFF"/>
      </left>
      <right style="thin">
        <color rgb="FFFFFFFF"/>
      </right>
      <top style="thin">
        <color rgb="FFFFFFFF"/>
      </top>
      <bottom style="thin">
        <color rgb="FFF3F3F3"/>
      </bottom>
    </border>
    <border>
      <left style="thin">
        <color rgb="FFECFFFF"/>
      </left>
      <right style="thin">
        <color rgb="FFFFFFFF"/>
      </right>
      <top style="thin">
        <color rgb="FFECFFFF"/>
      </top>
      <bottom style="thin">
        <color rgb="FFECFFFF"/>
      </bottom>
    </border>
    <border>
      <left style="thin">
        <color rgb="FFFFFFFF"/>
      </left>
      <right style="thin">
        <color rgb="FFFFFFFF"/>
      </right>
      <top style="thin">
        <color rgb="FFF3F3F3"/>
      </top>
      <bottom style="thin">
        <color rgb="FFF3F3F3"/>
      </bottom>
    </border>
    <border>
      <left style="thin">
        <color rgb="FFECFFFF"/>
      </left>
      <right style="thin">
        <color rgb="FFECFFFF"/>
      </right>
      <top style="thin">
        <color rgb="FFECFFFF"/>
      </top>
      <bottom style="thin">
        <color rgb="FFFFFFFF"/>
      </bottom>
    </border>
    <border>
      <left style="thin">
        <color rgb="FFECFFFF"/>
      </left>
      <right style="thin">
        <color rgb="FFFFFFFF"/>
      </right>
      <top style="thin">
        <color rgb="FFECFFFF"/>
      </top>
      <bottom style="thin">
        <color rgb="FFFFFFFF"/>
      </bottom>
    </border>
    <border>
      <left style="thin">
        <color rgb="FFFFFFFF"/>
      </left>
      <right style="thin">
        <color rgb="FFFFFFFF"/>
      </right>
      <top style="thin">
        <color rgb="FFF3F3F3"/>
      </top>
      <bottom style="thin">
        <color rgb="FFFFFFFF"/>
      </bottom>
    </border>
    <border>
      <right style="thin">
        <color rgb="FF97E6E6"/>
      </right>
      <top style="thin">
        <color rgb="FFFFFFFF"/>
      </top>
    </border>
    <border>
      <left style="thin">
        <color rgb="FF97E6E6"/>
      </left>
      <top style="thin">
        <color rgb="FFFFFFFF"/>
      </top>
    </border>
    <border>
      <left style="thin">
        <color rgb="FF0F3549"/>
      </left>
      <right style="thin">
        <color rgb="FF0F3549"/>
      </right>
      <top style="thin">
        <color rgb="FF0F3549"/>
      </top>
    </border>
    <border>
      <left style="thin">
        <color rgb="FF0F3549"/>
      </left>
      <top style="thin">
        <color rgb="FF0F3549"/>
      </top>
    </border>
    <border>
      <top style="thin">
        <color rgb="FF0F3549"/>
      </top>
    </border>
    <border>
      <right style="thin">
        <color rgb="FF0F3549"/>
      </right>
      <top style="thin">
        <color rgb="FF0F3549"/>
      </top>
    </border>
    <border>
      <left style="thin">
        <color rgb="FF0F3549"/>
      </left>
      <right style="thin">
        <color rgb="FF0F3549"/>
      </right>
      <bottom style="thin">
        <color rgb="FF0F3549"/>
      </bottom>
    </border>
    <border>
      <left style="thin">
        <color rgb="FFFFFFFF"/>
      </left>
      <right style="thin">
        <color rgb="FFCFE2F3"/>
      </right>
      <bottom style="thin">
        <color rgb="FFFFFFFF"/>
      </bottom>
    </border>
    <border>
      <left style="thin">
        <color rgb="FFCFE2F3"/>
      </left>
      <bottom style="thin">
        <color rgb="FFFFFFFF"/>
      </bottom>
    </border>
    <border>
      <right style="thin">
        <color rgb="FFCFE2F3"/>
      </right>
      <bottom style="thin">
        <color rgb="FFFFFFFF"/>
      </bottom>
    </border>
    <border>
      <right style="thin">
        <color rgb="FFECFFFF"/>
      </right>
      <bottom style="thin">
        <color rgb="FFECFFFF"/>
      </bottom>
    </border>
    <border>
      <left style="thin">
        <color rgb="FFECFFFF"/>
      </left>
      <right style="thin">
        <color rgb="FFECFFFF"/>
      </right>
      <bottom style="thin">
        <color rgb="FFECFFFF"/>
      </bottom>
    </border>
    <border>
      <left style="thin">
        <color rgb="FFECFFFF"/>
      </left>
      <right style="thin">
        <color rgb="FFCFE2F3"/>
      </right>
      <bottom style="thin">
        <color rgb="FFECFFFF"/>
      </bottom>
    </border>
    <border>
      <left style="thin">
        <color rgb="FFECFFFF"/>
      </left>
      <right style="thin">
        <color rgb="FFCFE2F3"/>
      </right>
      <top style="thin">
        <color rgb="FFECFFFF"/>
      </top>
      <bottom style="thin">
        <color rgb="FFECFFFF"/>
      </bottom>
    </border>
    <border>
      <left style="thin">
        <color rgb="FFCFE2F3"/>
      </left>
      <right style="thin">
        <color rgb="FFCFE2F3"/>
      </right>
      <bottom style="thin">
        <color rgb="FFFFFFFF"/>
      </bottom>
    </border>
    <border>
      <left style="thin">
        <color rgb="FFCFE2F3"/>
      </left>
      <right style="thin">
        <color rgb="FFFFFFFF"/>
      </right>
      <bottom style="thin">
        <color rgb="FFFFFFFF"/>
      </bottom>
    </border>
    <border>
      <left style="thin">
        <color rgb="FFFFFFFF"/>
      </left>
      <top style="thin">
        <color rgb="FFECFFFF"/>
      </top>
    </border>
    <border>
      <top style="thin">
        <color rgb="FFECFFFF"/>
      </top>
    </border>
    <border>
      <right style="thin">
        <color rgb="FFECFFFF"/>
      </right>
      <top style="thin">
        <color rgb="FFECFFFF"/>
      </top>
    </border>
    <border>
      <left style="thin">
        <color rgb="FFECFFFF"/>
      </left>
      <right style="thin">
        <color rgb="FFFFFFFF"/>
      </right>
      <top style="thin">
        <color rgb="FFECFFFF"/>
      </top>
    </border>
    <border>
      <left style="thin">
        <color rgb="FFFFFFFF"/>
      </left>
      <right style="thin">
        <color rgb="FFECFFFF"/>
      </right>
      <top style="thin">
        <color rgb="FFECFFFF"/>
      </top>
    </border>
    <border>
      <left style="thin">
        <color rgb="FFCFE2F3"/>
      </left>
      <right style="thin">
        <color rgb="FFCFE2F3"/>
      </right>
      <top style="thin">
        <color rgb="FFFFFFFF"/>
      </top>
      <bottom style="thin">
        <color rgb="FFFFFFFF"/>
      </bottom>
    </border>
    <border>
      <left style="thin">
        <color rgb="FFFFFFFF"/>
      </left>
      <right style="thin">
        <color rgb="FFCFE2F3"/>
      </right>
      <top style="thin">
        <color rgb="FFFFFFFF"/>
      </top>
      <bottom style="thin">
        <color rgb="FFFFFFFF"/>
      </bottom>
    </border>
    <border>
      <left style="thin">
        <color rgb="FFCFE2F3"/>
      </left>
      <top style="thin">
        <color rgb="FFFFFFFF"/>
      </top>
      <bottom style="thin">
        <color rgb="FFFFFFFF"/>
      </bottom>
    </border>
    <border>
      <right style="thin">
        <color rgb="FFCFE2F3"/>
      </right>
      <top style="thin">
        <color rgb="FFFFFFFF"/>
      </top>
      <bottom style="thin">
        <color rgb="FFFFFFFF"/>
      </bottom>
    </border>
    <border>
      <left style="thin">
        <color rgb="FFCFE2F3"/>
      </left>
      <right style="thin">
        <color rgb="FFFFFFFF"/>
      </right>
      <top style="thin">
        <color rgb="FFFFFFFF"/>
      </top>
      <bottom style="thin">
        <color rgb="FFFFFFFF"/>
      </bottom>
    </border>
    <border>
      <left style="thin">
        <color rgb="FFBDBDBD"/>
      </left>
      <right style="thin">
        <color rgb="FFBDBDBD"/>
      </right>
      <top style="thin">
        <color rgb="FFFFFFFF"/>
      </top>
      <bottom style="thin">
        <color rgb="FFFFFFFF"/>
      </bottom>
    </border>
    <border>
      <left style="thin">
        <color rgb="FFFFFFFF"/>
      </left>
      <right style="thin">
        <color rgb="FFBDBDBD"/>
      </right>
      <top style="thin">
        <color rgb="FFFFFFFF"/>
      </top>
      <bottom style="thin">
        <color rgb="FFFFFFFF"/>
      </bottom>
    </border>
    <border>
      <left style="thin">
        <color rgb="FFBDBDBD"/>
      </left>
      <top style="thin">
        <color rgb="FFFFFFFF"/>
      </top>
      <bottom style="thin">
        <color rgb="FFFFFFFF"/>
      </bottom>
    </border>
    <border>
      <right style="thin">
        <color rgb="FFBDBDBD"/>
      </right>
      <top style="thin">
        <color rgb="FFFFFFFF"/>
      </top>
      <bottom style="thin">
        <color rgb="FFFFFFFF"/>
      </bottom>
    </border>
    <border>
      <left style="thin">
        <color rgb="FFBDBDBD"/>
      </left>
      <right style="thin">
        <color rgb="FFFFFFFF"/>
      </right>
      <top style="thin">
        <color rgb="FFFFFFFF"/>
      </top>
      <bottom style="thin">
        <color rgb="FFFFFFFF"/>
      </bottom>
    </border>
    <border>
      <left style="thin">
        <color rgb="FFF3F3F3"/>
      </left>
      <right style="thin">
        <color rgb="FFF3F3F3"/>
      </right>
      <top style="thin">
        <color rgb="FFFFFFFF"/>
      </top>
      <bottom style="thin">
        <color rgb="FFFFFFFF"/>
      </bottom>
    </border>
    <border>
      <right style="thin">
        <color rgb="FFF3F3F3"/>
      </right>
      <top style="thin">
        <color rgb="FFFFFFFF"/>
      </top>
      <bottom style="thin">
        <color rgb="FFFFFFFF"/>
      </bottom>
    </border>
    <border>
      <left style="thin">
        <color rgb="FFF3F3F3"/>
      </left>
      <right style="thin">
        <color rgb="FFFFFFFF"/>
      </right>
      <top style="thin">
        <color rgb="FFFFFFFF"/>
      </top>
      <bottom style="thin">
        <color rgb="FFFFFFFF"/>
      </bottom>
    </border>
    <border>
      <left style="thin">
        <color rgb="FFFFFFFF"/>
      </left>
      <right style="thin">
        <color rgb="FFF3F3F3"/>
      </right>
      <top style="thin">
        <color rgb="FFFFFFFF"/>
      </top>
      <bottom style="thin">
        <color rgb="FFFFFFFF"/>
      </bottom>
    </border>
    <border>
      <left style="thin">
        <color rgb="FFFFFFFF"/>
      </left>
      <right style="thin">
        <color rgb="FFD9D9D9"/>
      </right>
      <top style="thin">
        <color rgb="FFFFFFFF"/>
      </top>
      <bottom style="thin">
        <color rgb="FFFFFFFF"/>
      </bottom>
    </border>
    <border>
      <left style="thin">
        <color rgb="FFD9D9D9"/>
      </left>
      <right style="thin">
        <color rgb="FFD9D9D9"/>
      </right>
      <top style="thin">
        <color rgb="FFFFFFFF"/>
      </top>
      <bottom style="thin">
        <color rgb="FFFFFFFF"/>
      </bottom>
    </border>
    <border>
      <left style="thin">
        <color rgb="FFFFFFFF"/>
      </left>
      <right style="thin">
        <color rgb="FFEFEFEF"/>
      </right>
      <top style="thin">
        <color rgb="FFFFFFFF"/>
      </top>
      <bottom style="thin">
        <color rgb="FFEFEFEF"/>
      </bottom>
    </border>
    <border>
      <left style="thin">
        <color rgb="FFEFEFEF"/>
      </left>
      <right style="thin">
        <color rgb="FFEFEFEF"/>
      </right>
      <top style="thin">
        <color rgb="FFFFFFFF"/>
      </top>
      <bottom style="thin">
        <color rgb="FFEFEFEF"/>
      </bottom>
    </border>
    <border>
      <left style="thin">
        <color rgb="FFFFFFFF"/>
      </left>
      <right style="thin">
        <color rgb="FFEFEFEF"/>
      </right>
      <top style="thin">
        <color rgb="FFEFEFEF"/>
      </top>
      <bottom style="thin">
        <color rgb="FFFFFFFF"/>
      </bottom>
    </border>
    <border>
      <left style="thin">
        <color rgb="FFEFEFEF"/>
      </left>
      <right style="thin">
        <color rgb="FFEFEFEF"/>
      </right>
      <top style="thin">
        <color rgb="FFEFEFEF"/>
      </top>
      <bottom style="thin">
        <color rgb="FFFFFFFF"/>
      </bottom>
    </border>
    <border>
      <left style="thin">
        <color rgb="FFD9D9D9"/>
      </left>
      <right style="thin">
        <color rgb="FFD9D9D9"/>
      </right>
      <top style="thin">
        <color rgb="FFD9D9D9"/>
      </top>
    </border>
    <border>
      <left style="thin">
        <color rgb="FFFFFFFF"/>
      </left>
      <top style="thin">
        <color rgb="FFFFFFFF"/>
      </top>
      <bottom style="thin">
        <color rgb="FFEFEFEF"/>
      </bottom>
    </border>
    <border>
      <top style="thin">
        <color rgb="FFFFFFFF"/>
      </top>
      <bottom style="thin">
        <color rgb="FFEFEFEF"/>
      </bottom>
    </border>
    <border>
      <right style="thin">
        <color rgb="FFEFEFEF"/>
      </right>
      <top style="thin">
        <color rgb="FFFFFFFF"/>
      </top>
      <bottom style="thin">
        <color rgb="FFEFEFEF"/>
      </bottom>
    </border>
    <border>
      <left style="thin">
        <color rgb="FFFFFFFF"/>
      </left>
      <right style="thin">
        <color rgb="FFEFEFEF"/>
      </right>
      <top style="thin">
        <color rgb="FFEFEFEF"/>
      </top>
      <bottom style="thin">
        <color rgb="FFEFEFEF"/>
      </bottom>
    </border>
    <border>
      <left style="thin">
        <color rgb="FFEFEFEF"/>
      </left>
      <right style="thin">
        <color rgb="FFEFEFEF"/>
      </right>
      <top style="thin">
        <color rgb="FFEFEFEF"/>
      </top>
      <bottom style="thin">
        <color rgb="FFEFEFEF"/>
      </bottom>
    </border>
    <border>
      <left style="thin">
        <color rgb="FFD9D9D9"/>
      </left>
      <top style="thin">
        <color rgb="FFD9D9D9"/>
      </top>
      <bottom style="thin">
        <color rgb="FFD9D9D9"/>
      </bottom>
    </border>
    <border>
      <right style="thin">
        <color rgb="FFD9D9D9"/>
      </right>
      <top style="thin">
        <color rgb="FFD9D9D9"/>
      </top>
      <bottom style="thin">
        <color rgb="FFD9D9D9"/>
      </bottom>
    </border>
    <border>
      <left style="thin">
        <color rgb="FFD9D9D9"/>
      </left>
      <bottom style="thin">
        <color rgb="FFFFFFFF"/>
      </bottom>
    </border>
    <border>
      <right style="thin">
        <color rgb="FFD9D9D9"/>
      </right>
      <bottom style="thin">
        <color rgb="FFFFFFFF"/>
      </bottom>
    </border>
    <border>
      <left style="thin">
        <color rgb="FFEFEFEF"/>
      </left>
      <right style="thin">
        <color rgb="FFEFEFEF"/>
      </right>
      <top style="thin">
        <color rgb="FFEFEFEF"/>
      </top>
    </border>
    <border>
      <left style="thin">
        <color rgb="FFD9D9D9"/>
      </left>
      <right style="thin">
        <color rgb="FFD9D9D9"/>
      </right>
      <top style="thin">
        <color rgb="FFFFFFFF"/>
      </top>
    </border>
    <border>
      <left style="thin">
        <color rgb="FFD9D9D9"/>
      </left>
      <right style="thin">
        <color rgb="FFFFFFFF"/>
      </right>
      <top style="thin">
        <color rgb="FFFFFFFF"/>
      </top>
    </border>
    <border>
      <right style="thin">
        <color rgb="FFEFEFEF"/>
      </right>
    </border>
    <border>
      <left style="thin">
        <color rgb="FFEFEFEF"/>
      </left>
      <top style="thin">
        <color rgb="FFEFEFEF"/>
      </top>
    </border>
    <border>
      <right style="thin">
        <color rgb="FFEFEFEF"/>
      </right>
      <top style="thin">
        <color rgb="FFEFEFEF"/>
      </top>
    </border>
    <border>
      <left style="thin">
        <color rgb="FFEFEFEF"/>
      </left>
    </border>
    <border>
      <right style="thin">
        <color rgb="FF0F3549"/>
      </right>
      <top style="thin">
        <color rgb="FF0F3549"/>
      </top>
      <bottom style="thin">
        <color rgb="FF0F3549"/>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FFFFFF"/>
      </right>
      <top style="thin">
        <color rgb="FF000000"/>
      </top>
      <bottom style="thin">
        <color rgb="FF000000"/>
      </bottom>
    </border>
    <border>
      <left style="thin">
        <color rgb="FFFFFFFF"/>
      </left>
      <right style="thin">
        <color rgb="FFFFFFFF"/>
      </right>
      <top style="thin">
        <color rgb="FF000000"/>
      </top>
      <bottom style="thin">
        <color rgb="FF000000"/>
      </bottom>
    </border>
    <border>
      <left style="thin">
        <color rgb="FFFFFFFF"/>
      </left>
      <right style="thin">
        <color rgb="FF000000"/>
      </right>
      <top style="thin">
        <color rgb="FF000000"/>
      </top>
      <bottom style="thin">
        <color rgb="FF000000"/>
      </bottom>
    </border>
    <border>
      <left style="thin">
        <color rgb="FF000000"/>
      </left>
      <right style="thin">
        <color rgb="FFFFFFFF"/>
      </right>
      <bottom style="thin">
        <color rgb="FF000000"/>
      </bottom>
    </border>
    <border>
      <left style="thin">
        <color rgb="FFFFFFFF"/>
      </left>
      <right style="thin">
        <color rgb="FFFFFFFF"/>
      </right>
      <bottom style="thin">
        <color rgb="FF000000"/>
      </bottom>
    </border>
    <border>
      <left style="thin">
        <color rgb="FFFFFFFF"/>
      </lef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F2F2F2"/>
      </right>
      <bottom style="thin">
        <color rgb="FF000000"/>
      </bottom>
    </border>
    <border>
      <left style="thin">
        <color rgb="FFF2F2F2"/>
      </left>
      <right style="thin">
        <color rgb="FFF2F2F2"/>
      </right>
      <bottom style="thin">
        <color rgb="FF000000"/>
      </bottom>
    </border>
    <border>
      <left style="thin">
        <color rgb="FFF2F2F2"/>
      </left>
      <right style="thin">
        <color rgb="FF000000"/>
      </right>
      <top style="thin">
        <color rgb="FF000000"/>
      </top>
      <bottom style="thin">
        <color rgb="FF000000"/>
      </bottom>
    </border>
    <border>
      <left style="thin">
        <color rgb="FF0F3549"/>
      </left>
      <right style="thin">
        <color rgb="FFFFFFFF"/>
      </right>
      <top style="thin">
        <color rgb="FFFFFFFF"/>
      </top>
      <bottom style="thin">
        <color rgb="FFFFFFFF"/>
      </bottom>
    </border>
    <border>
      <left style="thin">
        <color rgb="FFFFFFFF"/>
      </left>
      <right style="thin">
        <color rgb="FF0F3549"/>
      </right>
      <top style="thin">
        <color rgb="FFFFFFFF"/>
      </top>
      <bottom style="thin">
        <color rgb="FFFFFFFF"/>
      </bottom>
    </border>
    <border>
      <left style="thin">
        <color rgb="FF0F3549"/>
      </left>
      <right style="thin">
        <color rgb="FFFFFFFF"/>
      </right>
      <top style="thin">
        <color rgb="FFFFFFFF"/>
      </top>
      <bottom style="thin">
        <color rgb="FF0F3549"/>
      </bottom>
    </border>
    <border>
      <left style="thin">
        <color rgb="FFFFFFFF"/>
      </left>
      <top style="thin">
        <color rgb="FFFFFFFF"/>
      </top>
      <bottom style="thin">
        <color rgb="FF0F3549"/>
      </bottom>
    </border>
    <border>
      <left style="thin">
        <color rgb="FFFFFFFF"/>
      </left>
      <right style="thin">
        <color rgb="FF0F3549"/>
      </right>
      <top style="thin">
        <color rgb="FFFFFFFF"/>
      </top>
      <bottom style="thin">
        <color rgb="FF0F3549"/>
      </bottom>
    </border>
    <border>
      <right style="thin">
        <color rgb="FFFFFFFF"/>
      </right>
      <top style="thin">
        <color rgb="FFFFFFFF"/>
      </top>
      <bottom style="thin">
        <color rgb="FF0F3549"/>
      </bottom>
    </border>
    <border>
      <top style="thick">
        <color rgb="FF0F3549"/>
      </top>
    </border>
  </borders>
  <cellStyleXfs count="1">
    <xf borderId="0" fillId="0" fontId="0" numFmtId="0" applyAlignment="1" applyFont="1"/>
  </cellStyleXfs>
  <cellXfs count="711">
    <xf borderId="0" fillId="0" fontId="0" numFmtId="0" xfId="0" applyAlignment="1" applyFont="1">
      <alignment readingOrder="0" shrinkToFit="0" vertical="bottom" wrapText="0"/>
    </xf>
    <xf borderId="1" fillId="2" fontId="1" numFmtId="0" xfId="0" applyBorder="1" applyFill="1" applyFont="1"/>
    <xf borderId="0" fillId="2" fontId="1" numFmtId="0" xfId="0" applyFont="1"/>
    <xf borderId="2" fillId="0" fontId="1" numFmtId="0" xfId="0" applyBorder="1" applyFont="1"/>
    <xf borderId="3" fillId="0" fontId="1" numFmtId="0" xfId="0" applyBorder="1" applyFont="1"/>
    <xf borderId="4" fillId="0" fontId="1" numFmtId="0" xfId="0" applyBorder="1" applyFont="1"/>
    <xf borderId="5" fillId="0" fontId="1" numFmtId="0" xfId="0" applyBorder="1" applyFont="1"/>
    <xf borderId="6" fillId="0" fontId="1" numFmtId="0" xfId="0" applyBorder="1" applyFont="1"/>
    <xf borderId="7" fillId="0" fontId="1" numFmtId="0" xfId="0" applyBorder="1" applyFont="1"/>
    <xf borderId="8" fillId="0" fontId="2" numFmtId="0" xfId="0" applyAlignment="1" applyBorder="1" applyFont="1">
      <alignment readingOrder="0"/>
    </xf>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5" fillId="0" fontId="3" numFmtId="0" xfId="0" applyBorder="1" applyFont="1"/>
    <xf borderId="13" fillId="0" fontId="3" numFmtId="0" xfId="0" applyBorder="1" applyFont="1"/>
    <xf borderId="2" fillId="0" fontId="3" numFmtId="0" xfId="0" applyBorder="1" applyFont="1"/>
    <xf borderId="4" fillId="0" fontId="1" numFmtId="0" xfId="0" applyAlignment="1" applyBorder="1" applyFont="1">
      <alignment readingOrder="0"/>
    </xf>
    <xf borderId="4" fillId="3" fontId="4" numFmtId="0" xfId="0" applyBorder="1" applyFill="1" applyFont="1"/>
    <xf borderId="3" fillId="0" fontId="5" numFmtId="0" xfId="0" applyBorder="1" applyFont="1"/>
    <xf borderId="8" fillId="0" fontId="6" numFmtId="0" xfId="0" applyAlignment="1" applyBorder="1" applyFont="1">
      <alignment readingOrder="0"/>
    </xf>
    <xf borderId="7" fillId="0" fontId="4" numFmtId="0" xfId="0" applyAlignment="1" applyBorder="1" applyFont="1">
      <alignment readingOrder="0"/>
    </xf>
    <xf borderId="4" fillId="0" fontId="4" numFmtId="0" xfId="0" applyBorder="1" applyFont="1"/>
    <xf borderId="6" fillId="0" fontId="4" numFmtId="0" xfId="0" applyBorder="1" applyFont="1"/>
    <xf borderId="7" fillId="0" fontId="4" numFmtId="0" xfId="0" applyBorder="1" applyFont="1"/>
    <xf borderId="4" fillId="0" fontId="7" numFmtId="0" xfId="0" applyAlignment="1" applyBorder="1" applyFont="1">
      <alignment readingOrder="0"/>
    </xf>
    <xf borderId="4" fillId="0" fontId="8" numFmtId="0" xfId="0" applyAlignment="1" applyBorder="1" applyFont="1">
      <alignment readingOrder="0"/>
    </xf>
    <xf borderId="4" fillId="0" fontId="5" numFmtId="0" xfId="0" applyBorder="1" applyFont="1"/>
    <xf borderId="4" fillId="0" fontId="8" numFmtId="0" xfId="0" applyBorder="1" applyFont="1"/>
    <xf borderId="4" fillId="0" fontId="4" numFmtId="0" xfId="0" applyAlignment="1" applyBorder="1" applyFont="1">
      <alignment readingOrder="0"/>
    </xf>
    <xf borderId="4" fillId="0" fontId="9" numFmtId="0" xfId="0" applyAlignment="1" applyBorder="1" applyFont="1">
      <alignment readingOrder="0"/>
    </xf>
    <xf borderId="4" fillId="0" fontId="9" numFmtId="0" xfId="0" applyBorder="1" applyFont="1"/>
    <xf borderId="0" fillId="4" fontId="10" numFmtId="0" xfId="0" applyAlignment="1" applyFill="1" applyFont="1">
      <alignment horizontal="center" readingOrder="0"/>
    </xf>
    <xf borderId="7" fillId="0" fontId="8" numFmtId="0" xfId="0" applyBorder="1" applyFont="1"/>
    <xf borderId="6" fillId="2" fontId="11" numFmtId="0" xfId="0" applyAlignment="1" applyBorder="1" applyFont="1">
      <alignment horizontal="center" readingOrder="0" vertical="bottom"/>
    </xf>
    <xf borderId="14" fillId="0" fontId="3" numFmtId="0" xfId="0" applyBorder="1" applyFont="1"/>
    <xf borderId="7" fillId="0" fontId="3" numFmtId="0" xfId="0" applyBorder="1" applyFont="1"/>
    <xf borderId="6" fillId="5" fontId="12" numFmtId="0" xfId="0" applyAlignment="1" applyBorder="1" applyFill="1" applyFont="1">
      <alignment readingOrder="0" vertical="bottom"/>
    </xf>
    <xf borderId="8" fillId="2" fontId="11" numFmtId="0" xfId="0" applyAlignment="1" applyBorder="1" applyFont="1">
      <alignment horizontal="center" readingOrder="0"/>
    </xf>
    <xf borderId="6" fillId="3" fontId="12" numFmtId="0" xfId="0" applyAlignment="1" applyBorder="1" applyFont="1">
      <alignment readingOrder="0" vertical="bottom"/>
    </xf>
    <xf borderId="6" fillId="0" fontId="4" numFmtId="0" xfId="0" applyAlignment="1" applyBorder="1" applyFont="1">
      <alignment horizontal="center" readingOrder="0"/>
    </xf>
    <xf borderId="14" fillId="0" fontId="9" numFmtId="0" xfId="0" applyAlignment="1" applyBorder="1" applyFont="1">
      <alignment readingOrder="0"/>
    </xf>
    <xf borderId="4" fillId="0" fontId="13" numFmtId="0" xfId="0" applyAlignment="1" applyBorder="1" applyFont="1">
      <alignment readingOrder="0"/>
    </xf>
    <xf borderId="4" fillId="4" fontId="4" numFmtId="0" xfId="0" applyBorder="1" applyFont="1"/>
    <xf borderId="8" fillId="3" fontId="4" numFmtId="0" xfId="0" applyAlignment="1" applyBorder="1" applyFont="1">
      <alignment readingOrder="0"/>
    </xf>
    <xf borderId="7" fillId="4" fontId="4" numFmtId="0" xfId="0" applyBorder="1" applyFont="1"/>
    <xf borderId="6" fillId="4" fontId="4" numFmtId="0" xfId="0" applyBorder="1" applyFont="1"/>
    <xf borderId="15" fillId="0" fontId="14" numFmtId="0" xfId="0" applyAlignment="1" applyBorder="1" applyFont="1">
      <alignment horizontal="center" readingOrder="0"/>
    </xf>
    <xf borderId="3" fillId="0" fontId="3" numFmtId="0" xfId="0" applyBorder="1" applyFont="1"/>
    <xf borderId="6" fillId="0" fontId="15" numFmtId="0" xfId="0" applyAlignment="1" applyBorder="1" applyFont="1">
      <alignment horizontal="center" readingOrder="0"/>
    </xf>
    <xf borderId="4" fillId="0" fontId="16" numFmtId="0" xfId="0" applyAlignment="1" applyBorder="1" applyFont="1">
      <alignment readingOrder="0"/>
    </xf>
    <xf borderId="4" fillId="0" fontId="17" numFmtId="0" xfId="0" applyAlignment="1" applyBorder="1" applyFont="1">
      <alignment readingOrder="0"/>
    </xf>
    <xf borderId="4" fillId="0" fontId="15" numFmtId="0" xfId="0" applyAlignment="1" applyBorder="1" applyFont="1">
      <alignment horizontal="center" readingOrder="0"/>
    </xf>
    <xf borderId="8" fillId="2" fontId="11" numFmtId="0" xfId="0" applyAlignment="1" applyBorder="1" applyFont="1">
      <alignment horizontal="center" readingOrder="0" vertical="center"/>
    </xf>
    <xf borderId="15" fillId="2" fontId="11" numFmtId="0" xfId="0" applyAlignment="1" applyBorder="1" applyFont="1">
      <alignment horizontal="center" readingOrder="0" vertical="center"/>
    </xf>
    <xf borderId="15" fillId="2" fontId="11" numFmtId="0" xfId="0" applyAlignment="1" applyBorder="1" applyFont="1">
      <alignment horizontal="center" readingOrder="0" shrinkToFit="0" vertical="center" wrapText="1"/>
    </xf>
    <xf borderId="8" fillId="2" fontId="11" numFmtId="0" xfId="0" applyAlignment="1" applyBorder="1" applyFont="1">
      <alignment horizontal="center" readingOrder="0" shrinkToFit="0" vertical="center" wrapText="1"/>
    </xf>
    <xf borderId="7" fillId="0" fontId="5" numFmtId="0" xfId="0" applyBorder="1" applyFont="1"/>
    <xf borderId="6" fillId="0" fontId="5" numFmtId="0" xfId="0" applyBorder="1" applyFont="1"/>
    <xf borderId="4" fillId="0" fontId="13" numFmtId="0" xfId="0" applyAlignment="1" applyBorder="1" applyFont="1">
      <alignment horizontal="right" readingOrder="0"/>
    </xf>
    <xf borderId="6" fillId="5" fontId="4" numFmtId="0" xfId="0" applyAlignment="1" applyBorder="1" applyFont="1">
      <alignment readingOrder="0" vertical="bottom"/>
    </xf>
    <xf borderId="14" fillId="5" fontId="3" numFmtId="0" xfId="0" applyBorder="1" applyFont="1"/>
    <xf borderId="7" fillId="5" fontId="3" numFmtId="0" xfId="0" applyBorder="1" applyFont="1"/>
    <xf borderId="4" fillId="5" fontId="4" numFmtId="0" xfId="0" applyAlignment="1" applyBorder="1" applyFont="1">
      <alignment readingOrder="0" vertical="bottom"/>
    </xf>
    <xf borderId="4" fillId="5" fontId="4" numFmtId="0" xfId="0" applyAlignment="1" applyBorder="1" applyFont="1">
      <alignment readingOrder="0" shrinkToFit="0" vertical="bottom" wrapText="0"/>
    </xf>
    <xf borderId="4" fillId="5" fontId="4" numFmtId="0" xfId="0" applyAlignment="1" applyBorder="1" applyFont="1">
      <alignment readingOrder="0"/>
    </xf>
    <xf borderId="6" fillId="5" fontId="4" numFmtId="0" xfId="0" applyAlignment="1" applyBorder="1" applyFont="1">
      <alignment horizontal="right" readingOrder="0"/>
    </xf>
    <xf borderId="5" fillId="4" fontId="18" numFmtId="0" xfId="0" applyBorder="1" applyFont="1"/>
    <xf borderId="6" fillId="6" fontId="4" numFmtId="0" xfId="0" applyAlignment="1" applyBorder="1" applyFill="1" applyFont="1">
      <alignment readingOrder="0" vertical="bottom"/>
    </xf>
    <xf borderId="14" fillId="6" fontId="3" numFmtId="0" xfId="0" applyBorder="1" applyFont="1"/>
    <xf borderId="7" fillId="6" fontId="3" numFmtId="0" xfId="0" applyBorder="1" applyFont="1"/>
    <xf borderId="4" fillId="6" fontId="4" numFmtId="0" xfId="0" applyAlignment="1" applyBorder="1" applyFont="1">
      <alignment readingOrder="0" vertical="bottom"/>
    </xf>
    <xf borderId="4" fillId="6" fontId="4" numFmtId="0" xfId="0" applyAlignment="1" applyBorder="1" applyFont="1">
      <alignment readingOrder="0"/>
    </xf>
    <xf borderId="6" fillId="6" fontId="4" numFmtId="0" xfId="0" applyAlignment="1" applyBorder="1" applyFont="1">
      <alignment horizontal="right" readingOrder="0"/>
    </xf>
    <xf borderId="6" fillId="4" fontId="18" numFmtId="0" xfId="0" applyBorder="1" applyFont="1"/>
    <xf borderId="4" fillId="0" fontId="13" numFmtId="0" xfId="0" applyBorder="1" applyFont="1"/>
    <xf borderId="6" fillId="5" fontId="4" numFmtId="0" xfId="0" applyAlignment="1" applyBorder="1" applyFont="1">
      <alignment readingOrder="0"/>
    </xf>
    <xf borderId="4" fillId="5" fontId="12" numFmtId="0" xfId="0" applyAlignment="1" applyBorder="1" applyFont="1">
      <alignment readingOrder="0" vertical="bottom"/>
    </xf>
    <xf borderId="6" fillId="6" fontId="4" numFmtId="0" xfId="0" applyAlignment="1" applyBorder="1" applyFont="1">
      <alignment readingOrder="0"/>
    </xf>
    <xf borderId="6" fillId="5" fontId="4" numFmtId="0" xfId="0" applyBorder="1" applyFont="1"/>
    <xf borderId="6" fillId="6" fontId="4" numFmtId="0" xfId="0" applyBorder="1" applyFont="1"/>
    <xf borderId="4" fillId="6" fontId="12" numFmtId="0" xfId="0" applyAlignment="1" applyBorder="1" applyFont="1">
      <alignment readingOrder="0" vertical="bottom"/>
    </xf>
    <xf borderId="4" fillId="6" fontId="4" numFmtId="0" xfId="0" applyBorder="1" applyFont="1"/>
    <xf borderId="6" fillId="6" fontId="4" numFmtId="0" xfId="0" applyAlignment="1" applyBorder="1" applyFont="1">
      <alignment horizontal="right"/>
    </xf>
    <xf borderId="4" fillId="6" fontId="12" numFmtId="0" xfId="0" applyAlignment="1" applyBorder="1" applyFont="1">
      <alignment vertical="bottom"/>
    </xf>
    <xf borderId="8" fillId="4" fontId="18" numFmtId="0" xfId="0" applyBorder="1" applyFont="1"/>
    <xf borderId="2" fillId="0" fontId="4" numFmtId="0" xfId="0" applyBorder="1" applyFont="1"/>
    <xf borderId="2" fillId="0" fontId="5" numFmtId="0" xfId="0" applyBorder="1" applyFont="1"/>
    <xf quotePrefix="1" borderId="4" fillId="0" fontId="13" numFmtId="0" xfId="0" applyAlignment="1" applyBorder="1" applyFont="1">
      <alignment horizontal="right" readingOrder="0"/>
    </xf>
    <xf borderId="4" fillId="5" fontId="4" numFmtId="0" xfId="0" applyBorder="1" applyFont="1"/>
    <xf borderId="10" fillId="0" fontId="5" numFmtId="0" xfId="0" applyBorder="1" applyFont="1"/>
    <xf borderId="8" fillId="2" fontId="19" numFmtId="0" xfId="0" applyAlignment="1" applyBorder="1" applyFont="1">
      <alignment horizontal="center" readingOrder="0" vertical="center"/>
    </xf>
    <xf borderId="15" fillId="2" fontId="19" numFmtId="0" xfId="0" applyAlignment="1" applyBorder="1" applyFont="1">
      <alignment horizontal="center" readingOrder="0" shrinkToFit="0" vertical="center" wrapText="1"/>
    </xf>
    <xf borderId="15" fillId="2" fontId="19" numFmtId="0" xfId="0" applyAlignment="1" applyBorder="1" applyFont="1">
      <alignment horizontal="center" readingOrder="0" vertical="center"/>
    </xf>
    <xf borderId="8" fillId="2" fontId="19" numFmtId="0" xfId="0" applyAlignment="1" applyBorder="1" applyFont="1">
      <alignment horizontal="center" readingOrder="0" shrinkToFit="0" vertical="center" wrapText="1"/>
    </xf>
    <xf borderId="0" fillId="0" fontId="4" numFmtId="0" xfId="0" applyFont="1"/>
    <xf borderId="16" fillId="4" fontId="20" numFmtId="0" xfId="0" applyAlignment="1" applyBorder="1" applyFont="1">
      <alignment vertical="bottom"/>
    </xf>
    <xf borderId="16" fillId="4" fontId="20" numFmtId="0" xfId="0" applyAlignment="1" applyBorder="1" applyFont="1">
      <alignment horizontal="center" readingOrder="0"/>
    </xf>
    <xf borderId="6" fillId="6" fontId="12" numFmtId="0" xfId="0" applyAlignment="1" applyBorder="1" applyFont="1">
      <alignment vertical="bottom"/>
    </xf>
    <xf borderId="6" fillId="6" fontId="12" numFmtId="0" xfId="0" applyAlignment="1" applyBorder="1" applyFont="1">
      <alignment readingOrder="0" vertical="bottom"/>
    </xf>
    <xf borderId="6" fillId="5" fontId="12" numFmtId="0" xfId="0" applyAlignment="1" applyBorder="1" applyFont="1">
      <alignment vertical="bottom"/>
    </xf>
    <xf borderId="16" fillId="4" fontId="20" numFmtId="0" xfId="0" applyAlignment="1" applyBorder="1" applyFont="1">
      <alignment horizontal="center"/>
    </xf>
    <xf borderId="17" fillId="0" fontId="12" numFmtId="0" xfId="0" applyAlignment="1" applyBorder="1" applyFont="1">
      <alignment vertical="bottom"/>
    </xf>
    <xf borderId="6" fillId="2" fontId="11" numFmtId="0" xfId="0" applyAlignment="1" applyBorder="1" applyFont="1">
      <alignment horizontal="center" readingOrder="0"/>
    </xf>
    <xf borderId="6" fillId="2" fontId="11" numFmtId="0" xfId="0" applyAlignment="1" applyBorder="1" applyFont="1">
      <alignment horizontal="center" readingOrder="0" shrinkToFit="0" wrapText="1"/>
    </xf>
    <xf borderId="4" fillId="0" fontId="6" numFmtId="0" xfId="0" applyAlignment="1" applyBorder="1" applyFont="1">
      <alignment readingOrder="0"/>
    </xf>
    <xf borderId="4" fillId="3" fontId="4" numFmtId="0" xfId="0" applyAlignment="1" applyBorder="1" applyFont="1">
      <alignment readingOrder="0"/>
    </xf>
    <xf borderId="6" fillId="7" fontId="4" numFmtId="0" xfId="0" applyAlignment="1" applyBorder="1" applyFill="1" applyFont="1">
      <alignment readingOrder="0"/>
    </xf>
    <xf quotePrefix="1" borderId="6" fillId="5" fontId="4" numFmtId="0" xfId="0" applyAlignment="1" applyBorder="1" applyFont="1">
      <alignment readingOrder="0"/>
    </xf>
    <xf borderId="5" fillId="0" fontId="5" numFmtId="0" xfId="0" applyBorder="1" applyFont="1"/>
    <xf borderId="3" fillId="4" fontId="5" numFmtId="0" xfId="0" applyBorder="1" applyFont="1"/>
    <xf borderId="6" fillId="3" fontId="7" numFmtId="0" xfId="0" applyAlignment="1" applyBorder="1" applyFont="1">
      <alignment readingOrder="0"/>
    </xf>
    <xf borderId="7" fillId="4" fontId="7" numFmtId="0" xfId="0" applyAlignment="1" applyBorder="1" applyFont="1">
      <alignment readingOrder="0"/>
    </xf>
    <xf borderId="4" fillId="4" fontId="7" numFmtId="0" xfId="0" applyAlignment="1" applyBorder="1" applyFont="1">
      <alignment readingOrder="0"/>
    </xf>
    <xf borderId="4" fillId="4" fontId="5" numFmtId="0" xfId="0" applyBorder="1" applyFont="1"/>
    <xf borderId="18" fillId="0" fontId="3" numFmtId="0" xfId="0" applyBorder="1" applyFont="1"/>
    <xf borderId="12" fillId="4" fontId="5" numFmtId="0" xfId="0" applyBorder="1" applyFont="1"/>
    <xf borderId="18" fillId="4" fontId="5" numFmtId="0" xfId="0" applyBorder="1" applyFont="1"/>
    <xf borderId="11" fillId="4" fontId="5" numFmtId="0" xfId="0" applyBorder="1" applyFont="1"/>
    <xf borderId="6" fillId="0" fontId="9" numFmtId="0" xfId="0" applyAlignment="1" applyBorder="1" applyFont="1">
      <alignment readingOrder="0"/>
    </xf>
    <xf borderId="7" fillId="0" fontId="9" numFmtId="0" xfId="0" applyAlignment="1" applyBorder="1" applyFont="1">
      <alignment readingOrder="0"/>
    </xf>
    <xf borderId="6" fillId="3" fontId="15" numFmtId="0" xfId="0" applyAlignment="1" applyBorder="1" applyFont="1">
      <alignment readingOrder="0"/>
    </xf>
    <xf borderId="6" fillId="2" fontId="21" numFmtId="0" xfId="0" applyAlignment="1" applyBorder="1" applyFont="1">
      <alignment readingOrder="0"/>
    </xf>
    <xf borderId="4" fillId="2" fontId="21" numFmtId="0" xfId="0" applyAlignment="1" applyBorder="1" applyFont="1">
      <alignment readingOrder="0"/>
    </xf>
    <xf borderId="6" fillId="5" fontId="22" numFmtId="0" xfId="0" applyAlignment="1" applyBorder="1" applyFont="1">
      <alignment readingOrder="0"/>
    </xf>
    <xf borderId="19" fillId="3" fontId="23" numFmtId="0" xfId="0" applyBorder="1" applyFont="1"/>
    <xf borderId="8" fillId="8" fontId="22" numFmtId="0" xfId="0" applyAlignment="1" applyBorder="1" applyFill="1" applyFont="1">
      <alignment horizontal="center" readingOrder="0" shrinkToFit="0" vertical="center" wrapText="1"/>
    </xf>
    <xf borderId="6" fillId="9" fontId="4" numFmtId="0" xfId="0" applyAlignment="1" applyBorder="1" applyFill="1" applyFont="1">
      <alignment readingOrder="0"/>
    </xf>
    <xf borderId="14" fillId="8" fontId="3" numFmtId="0" xfId="0" applyBorder="1" applyFont="1"/>
    <xf borderId="7" fillId="8" fontId="3" numFmtId="0" xfId="0" applyBorder="1" applyFont="1"/>
    <xf borderId="4" fillId="3" fontId="4" numFmtId="0" xfId="0" applyAlignment="1" applyBorder="1" applyFont="1">
      <alignment horizontal="center" readingOrder="0"/>
    </xf>
    <xf borderId="14" fillId="7" fontId="3" numFmtId="0" xfId="0" applyBorder="1" applyFont="1"/>
    <xf borderId="7" fillId="7" fontId="3" numFmtId="0" xfId="0" applyBorder="1" applyFont="1"/>
    <xf borderId="4" fillId="3" fontId="24" numFmtId="0" xfId="0" applyAlignment="1" applyBorder="1" applyFont="1">
      <alignment horizontal="left" readingOrder="0"/>
    </xf>
    <xf borderId="6" fillId="3" fontId="25" numFmtId="0" xfId="0" applyAlignment="1" applyBorder="1" applyFont="1">
      <alignment readingOrder="0" vertical="top"/>
    </xf>
    <xf borderId="6" fillId="8" fontId="4" numFmtId="0" xfId="0" applyAlignment="1" applyBorder="1" applyFont="1">
      <alignment readingOrder="0"/>
    </xf>
    <xf borderId="19" fillId="3" fontId="23" numFmtId="0" xfId="0" applyAlignment="1" applyBorder="1" applyFont="1">
      <alignment readingOrder="0"/>
    </xf>
    <xf borderId="20" fillId="3" fontId="23" numFmtId="0" xfId="0" applyAlignment="1" applyBorder="1" applyFont="1">
      <alignment readingOrder="0"/>
    </xf>
    <xf borderId="6" fillId="3" fontId="5" numFmtId="0" xfId="0" applyAlignment="1" applyBorder="1" applyFont="1">
      <alignment readingOrder="0"/>
    </xf>
    <xf borderId="6" fillId="3" fontId="5" numFmtId="0" xfId="0" applyBorder="1" applyFont="1"/>
    <xf borderId="4" fillId="0" fontId="22" numFmtId="0" xfId="0" applyAlignment="1" applyBorder="1" applyFont="1">
      <alignment readingOrder="0"/>
    </xf>
    <xf borderId="8" fillId="0" fontId="4" numFmtId="0" xfId="0" applyBorder="1" applyFont="1"/>
    <xf borderId="4" fillId="0" fontId="26" numFmtId="0" xfId="0" applyAlignment="1" applyBorder="1" applyFont="1">
      <alignment readingOrder="0"/>
    </xf>
    <xf borderId="15" fillId="0" fontId="14" numFmtId="0" xfId="0" applyAlignment="1" applyBorder="1" applyFont="1">
      <alignment horizontal="right" readingOrder="0"/>
    </xf>
    <xf borderId="8" fillId="0" fontId="7" numFmtId="0" xfId="0" applyAlignment="1" applyBorder="1" applyFont="1">
      <alignment readingOrder="0"/>
    </xf>
    <xf borderId="6" fillId="2" fontId="27" numFmtId="0" xfId="0" applyAlignment="1" applyBorder="1" applyFont="1">
      <alignment readingOrder="0"/>
    </xf>
    <xf borderId="21" fillId="8" fontId="4" numFmtId="0" xfId="0" applyBorder="1" applyFont="1"/>
    <xf borderId="22" fillId="4" fontId="4" numFmtId="0" xfId="0" applyAlignment="1" applyBorder="1" applyFont="1">
      <alignment readingOrder="0"/>
    </xf>
    <xf borderId="6" fillId="2" fontId="28" numFmtId="0" xfId="0" applyAlignment="1" applyBorder="1" applyFont="1">
      <alignment readingOrder="0"/>
    </xf>
    <xf borderId="6" fillId="3" fontId="13" numFmtId="0" xfId="0" applyAlignment="1" applyBorder="1" applyFont="1">
      <alignment horizontal="right" readingOrder="0"/>
    </xf>
    <xf borderId="6" fillId="10" fontId="4" numFmtId="0" xfId="0" applyBorder="1" applyFill="1" applyFont="1"/>
    <xf borderId="6" fillId="0" fontId="22" numFmtId="0" xfId="0" applyBorder="1" applyFont="1"/>
    <xf borderId="6" fillId="7" fontId="24" numFmtId="0" xfId="0" applyAlignment="1" applyBorder="1" applyFont="1">
      <alignment readingOrder="0"/>
    </xf>
    <xf borderId="23" fillId="0" fontId="3" numFmtId="0" xfId="0" applyBorder="1" applyFont="1"/>
    <xf borderId="24" fillId="7" fontId="29" numFmtId="0" xfId="0" applyAlignment="1" applyBorder="1" applyFont="1">
      <alignment horizontal="right" readingOrder="0"/>
    </xf>
    <xf borderId="6" fillId="3" fontId="30" numFmtId="0" xfId="0" applyAlignment="1" applyBorder="1" applyFont="1">
      <alignment readingOrder="0" vertical="bottom"/>
    </xf>
    <xf borderId="4" fillId="4" fontId="31" numFmtId="0" xfId="0" applyAlignment="1" applyBorder="1" applyFont="1">
      <alignment readingOrder="0" vertical="center"/>
    </xf>
    <xf borderId="14" fillId="4" fontId="32" numFmtId="0" xfId="0" applyAlignment="1" applyBorder="1" applyFont="1">
      <alignment horizontal="center" readingOrder="0"/>
    </xf>
    <xf borderId="7" fillId="4" fontId="32" numFmtId="0" xfId="0" applyAlignment="1" applyBorder="1" applyFont="1">
      <alignment horizontal="center" readingOrder="0"/>
    </xf>
    <xf borderId="14" fillId="2" fontId="33" numFmtId="0" xfId="0" applyAlignment="1" applyBorder="1" applyFont="1">
      <alignment horizontal="right" readingOrder="0"/>
    </xf>
    <xf borderId="7" fillId="2" fontId="34" numFmtId="0" xfId="0" applyAlignment="1" applyBorder="1" applyFont="1">
      <alignment horizontal="center" readingOrder="0"/>
    </xf>
    <xf borderId="6" fillId="10" fontId="12" numFmtId="0" xfId="0" applyAlignment="1" applyBorder="1" applyFont="1">
      <alignment vertical="bottom"/>
    </xf>
    <xf borderId="6" fillId="8" fontId="24" numFmtId="0" xfId="0" applyAlignment="1" applyBorder="1" applyFont="1">
      <alignment readingOrder="0"/>
    </xf>
    <xf borderId="25" fillId="8" fontId="3" numFmtId="0" xfId="0" applyBorder="1" applyFont="1"/>
    <xf borderId="26" fillId="8" fontId="35" numFmtId="0" xfId="0" applyAlignment="1" applyBorder="1" applyFont="1">
      <alignment horizontal="right" vertical="bottom"/>
    </xf>
    <xf borderId="4" fillId="3" fontId="4" numFmtId="0" xfId="0" applyAlignment="1" applyBorder="1" applyFont="1">
      <alignment vertical="bottom"/>
    </xf>
    <xf borderId="23" fillId="7" fontId="3" numFmtId="0" xfId="0" applyBorder="1" applyFont="1"/>
    <xf borderId="24" fillId="7" fontId="35" numFmtId="0" xfId="0" applyAlignment="1" applyBorder="1" applyFont="1">
      <alignment horizontal="right" readingOrder="0" vertical="bottom"/>
    </xf>
    <xf borderId="4" fillId="3" fontId="4" numFmtId="0" xfId="0" applyAlignment="1" applyBorder="1" applyFont="1">
      <alignment readingOrder="0" vertical="bottom"/>
    </xf>
    <xf borderId="6" fillId="10" fontId="4" numFmtId="0" xfId="0" applyAlignment="1" applyBorder="1" applyFont="1">
      <alignment vertical="bottom"/>
    </xf>
    <xf borderId="27" fillId="8" fontId="35" numFmtId="0" xfId="0" applyAlignment="1" applyBorder="1" applyFont="1">
      <alignment horizontal="right" vertical="bottom"/>
    </xf>
    <xf borderId="24" fillId="7" fontId="35" numFmtId="0" xfId="0" applyAlignment="1" applyBorder="1" applyFont="1">
      <alignment horizontal="right" vertical="bottom"/>
    </xf>
    <xf borderId="4" fillId="10" fontId="4" numFmtId="0" xfId="0" applyBorder="1" applyFont="1"/>
    <xf borderId="28" fillId="9" fontId="24" numFmtId="0" xfId="0" applyAlignment="1" applyBorder="1" applyFont="1">
      <alignment horizontal="right" readingOrder="0"/>
    </xf>
    <xf borderId="29" fillId="7" fontId="3" numFmtId="0" xfId="0" applyBorder="1" applyFont="1"/>
    <xf borderId="30" fillId="7" fontId="3" numFmtId="0" xfId="0" applyBorder="1" applyFont="1"/>
    <xf borderId="31" fillId="9" fontId="36" numFmtId="0" xfId="0" applyAlignment="1" applyBorder="1" applyFont="1">
      <alignment horizontal="left" vertical="bottom"/>
    </xf>
    <xf borderId="32" fillId="7" fontId="3" numFmtId="0" xfId="0" applyBorder="1" applyFont="1"/>
    <xf borderId="33" fillId="9" fontId="24" numFmtId="0" xfId="0" applyAlignment="1" applyBorder="1" applyFont="1">
      <alignment horizontal="right" readingOrder="0"/>
    </xf>
    <xf borderId="34" fillId="8" fontId="3" numFmtId="0" xfId="0" applyBorder="1" applyFont="1"/>
    <xf borderId="35" fillId="8" fontId="3" numFmtId="0" xfId="0" applyBorder="1" applyFont="1"/>
    <xf borderId="32" fillId="8" fontId="3" numFmtId="0" xfId="0" applyBorder="1" applyFont="1"/>
    <xf borderId="36" fillId="6" fontId="24" numFmtId="0" xfId="0" applyAlignment="1" applyBorder="1" applyFont="1">
      <alignment horizontal="right" readingOrder="0"/>
    </xf>
    <xf borderId="37" fillId="0" fontId="3" numFmtId="0" xfId="0" applyBorder="1" applyFont="1"/>
    <xf borderId="38" fillId="0" fontId="3" numFmtId="0" xfId="0" applyBorder="1" applyFont="1"/>
    <xf borderId="39" fillId="6" fontId="36" numFmtId="0" xfId="0" applyAlignment="1" applyBorder="1" applyFont="1">
      <alignment horizontal="left" vertical="bottom"/>
    </xf>
    <xf borderId="40" fillId="0" fontId="3" numFmtId="0" xfId="0" applyBorder="1" applyFont="1"/>
    <xf borderId="4" fillId="3" fontId="12" numFmtId="0" xfId="0" applyAlignment="1" applyBorder="1" applyFont="1">
      <alignment horizontal="right" readingOrder="0" vertical="bottom"/>
    </xf>
    <xf borderId="41" fillId="6" fontId="24" numFmtId="0" xfId="0" applyAlignment="1" applyBorder="1" applyFont="1">
      <alignment horizontal="right" readingOrder="0"/>
    </xf>
    <xf borderId="42" fillId="0" fontId="3" numFmtId="0" xfId="0" applyBorder="1" applyFont="1"/>
    <xf borderId="43" fillId="0" fontId="3" numFmtId="0" xfId="0" applyBorder="1" applyFont="1"/>
    <xf borderId="44" fillId="6" fontId="36" numFmtId="0" xfId="0" applyAlignment="1" applyBorder="1" applyFont="1">
      <alignment horizontal="left" vertical="bottom"/>
    </xf>
    <xf borderId="45" fillId="0" fontId="3" numFmtId="0" xfId="0" applyBorder="1" applyFont="1"/>
    <xf borderId="4" fillId="3" fontId="12" numFmtId="0" xfId="0" applyAlignment="1" applyBorder="1" applyFont="1">
      <alignment horizontal="right" vertical="bottom"/>
    </xf>
    <xf borderId="46" fillId="6" fontId="24" numFmtId="0" xfId="0" applyAlignment="1" applyBorder="1" applyFont="1">
      <alignment horizontal="right" readingOrder="0"/>
    </xf>
    <xf borderId="47" fillId="0" fontId="3" numFmtId="0" xfId="0" applyBorder="1" applyFont="1"/>
    <xf borderId="48" fillId="0" fontId="3" numFmtId="0" xfId="0" applyBorder="1" applyFont="1"/>
    <xf borderId="49" fillId="6" fontId="36" numFmtId="0" xfId="0" applyAlignment="1" applyBorder="1" applyFont="1">
      <alignment horizontal="left" vertical="bottom"/>
    </xf>
    <xf borderId="50" fillId="0" fontId="3" numFmtId="0" xfId="0" applyBorder="1" applyFont="1"/>
    <xf borderId="25" fillId="0" fontId="3" numFmtId="0" xfId="0" applyBorder="1" applyFont="1"/>
    <xf borderId="27" fillId="8" fontId="37" numFmtId="0" xfId="0" applyAlignment="1" applyBorder="1" applyFont="1">
      <alignment horizontal="right" vertical="bottom"/>
    </xf>
    <xf borderId="29" fillId="0" fontId="3" numFmtId="0" xfId="0" applyBorder="1" applyFont="1"/>
    <xf borderId="30" fillId="0" fontId="3" numFmtId="0" xfId="0" applyBorder="1" applyFont="1"/>
    <xf borderId="51" fillId="9" fontId="36" numFmtId="0" xfId="0" applyAlignment="1" applyBorder="1" applyFont="1">
      <alignment horizontal="left" vertical="bottom"/>
    </xf>
    <xf borderId="52" fillId="0" fontId="3" numFmtId="0" xfId="0" applyBorder="1" applyFont="1"/>
    <xf borderId="53" fillId="9" fontId="24" numFmtId="0" xfId="0" applyAlignment="1" applyBorder="1" applyFont="1">
      <alignment horizontal="right" readingOrder="0"/>
    </xf>
    <xf borderId="54" fillId="0" fontId="3" numFmtId="0" xfId="0" applyBorder="1" applyFont="1"/>
    <xf borderId="55" fillId="0" fontId="3" numFmtId="0" xfId="0" applyBorder="1" applyFont="1"/>
    <xf borderId="32" fillId="0" fontId="3" numFmtId="0" xfId="0" applyBorder="1" applyFont="1"/>
    <xf borderId="34" fillId="0" fontId="3" numFmtId="0" xfId="0" applyBorder="1" applyFont="1"/>
    <xf borderId="35" fillId="0" fontId="3" numFmtId="0" xfId="0" applyBorder="1" applyFont="1"/>
    <xf borderId="24" fillId="7" fontId="37" numFmtId="0" xfId="0" applyAlignment="1" applyBorder="1" applyFont="1">
      <alignment horizontal="right" vertical="bottom"/>
    </xf>
    <xf borderId="8" fillId="5" fontId="9" numFmtId="0" xfId="0" applyAlignment="1" applyBorder="1" applyFont="1">
      <alignment readingOrder="0"/>
    </xf>
    <xf borderId="56" fillId="0" fontId="3" numFmtId="0" xfId="0" applyBorder="1" applyFont="1"/>
    <xf borderId="15" fillId="3" fontId="4" numFmtId="0" xfId="0" applyAlignment="1" applyBorder="1" applyFont="1">
      <alignment readingOrder="0"/>
    </xf>
    <xf borderId="57" fillId="7" fontId="38" numFmtId="0" xfId="0" applyAlignment="1" applyBorder="1" applyFont="1">
      <alignment readingOrder="0" vertical="center"/>
    </xf>
    <xf borderId="58" fillId="0" fontId="3" numFmtId="0" xfId="0" applyBorder="1" applyFont="1"/>
    <xf borderId="59" fillId="0" fontId="3" numFmtId="0" xfId="0" applyBorder="1" applyFont="1"/>
    <xf borderId="4" fillId="0" fontId="12" numFmtId="0" xfId="0" applyAlignment="1" applyBorder="1" applyFont="1">
      <alignment vertical="bottom"/>
    </xf>
    <xf borderId="4" fillId="4" fontId="12" numFmtId="0" xfId="0" applyAlignment="1" applyBorder="1" applyFont="1">
      <alignment vertical="bottom"/>
    </xf>
    <xf borderId="60" fillId="6" fontId="9" numFmtId="0" xfId="0" applyAlignment="1" applyBorder="1" applyFont="1">
      <alignment readingOrder="0"/>
    </xf>
    <xf borderId="61" fillId="6" fontId="24" numFmtId="0" xfId="0" applyAlignment="1" applyBorder="1" applyFont="1">
      <alignment readingOrder="0"/>
    </xf>
    <xf borderId="61" fillId="6" fontId="39" numFmtId="0" xfId="0" applyAlignment="1" applyBorder="1" applyFont="1">
      <alignment readingOrder="0"/>
    </xf>
    <xf borderId="61" fillId="6" fontId="40" numFmtId="0" xfId="0" applyAlignment="1" applyBorder="1" applyFont="1">
      <alignment horizontal="right" readingOrder="0"/>
    </xf>
    <xf borderId="44" fillId="3" fontId="41" numFmtId="0" xfId="0" applyAlignment="1" applyBorder="1" applyFont="1">
      <alignment horizontal="right" readingOrder="0"/>
    </xf>
    <xf borderId="62" fillId="0" fontId="3" numFmtId="0" xfId="0" applyBorder="1" applyFont="1"/>
    <xf borderId="44" fillId="6" fontId="40" numFmtId="0" xfId="0" applyAlignment="1" applyBorder="1" applyFont="1">
      <alignment horizontal="right" readingOrder="0"/>
    </xf>
    <xf borderId="44" fillId="3" fontId="4" numFmtId="0" xfId="0" applyAlignment="1" applyBorder="1" applyFont="1">
      <alignment readingOrder="0"/>
    </xf>
    <xf borderId="61" fillId="6" fontId="24" numFmtId="0" xfId="0" applyAlignment="1" applyBorder="1" applyFont="1">
      <alignment readingOrder="0" vertical="bottom"/>
    </xf>
    <xf borderId="6" fillId="0" fontId="12" numFmtId="0" xfId="0" applyAlignment="1" applyBorder="1" applyFont="1">
      <alignment vertical="bottom"/>
    </xf>
    <xf borderId="60" fillId="6" fontId="9" numFmtId="0" xfId="0" applyAlignment="1" applyBorder="1" applyFont="1">
      <alignment readingOrder="0" vertical="bottom"/>
    </xf>
    <xf borderId="44" fillId="6" fontId="40" numFmtId="0" xfId="0" applyAlignment="1" applyBorder="1" applyFont="1">
      <alignment horizontal="right" readingOrder="0" vertical="bottom"/>
    </xf>
    <xf borderId="7" fillId="0" fontId="12" numFmtId="0" xfId="0" applyAlignment="1" applyBorder="1" applyFont="1">
      <alignment vertical="bottom"/>
    </xf>
    <xf borderId="63" fillId="0" fontId="12" numFmtId="0" xfId="0" applyAlignment="1" applyBorder="1" applyFont="1">
      <alignment vertical="bottom"/>
    </xf>
    <xf borderId="64" fillId="4" fontId="12" numFmtId="0" xfId="0" applyAlignment="1" applyBorder="1" applyFont="1">
      <alignment vertical="bottom"/>
    </xf>
    <xf borderId="61" fillId="6" fontId="42" numFmtId="0" xfId="0" applyAlignment="1" applyBorder="1" applyFont="1">
      <alignment horizontal="right" readingOrder="0" vertical="bottom"/>
    </xf>
    <xf borderId="65" fillId="3" fontId="4" numFmtId="0" xfId="0" applyAlignment="1" applyBorder="1" applyFont="1">
      <alignment readingOrder="0"/>
    </xf>
    <xf borderId="66" fillId="0" fontId="3" numFmtId="0" xfId="0" applyBorder="1" applyFont="1"/>
    <xf borderId="63" fillId="4" fontId="12" numFmtId="0" xfId="0" applyAlignment="1" applyBorder="1" applyFont="1">
      <alignment vertical="bottom"/>
    </xf>
    <xf borderId="67" fillId="4" fontId="12" numFmtId="0" xfId="0" applyAlignment="1" applyBorder="1" applyFont="1">
      <alignment vertical="bottom"/>
    </xf>
    <xf borderId="68" fillId="4" fontId="12" numFmtId="0" xfId="0" applyAlignment="1" applyBorder="1" applyFont="1">
      <alignment vertical="bottom"/>
    </xf>
    <xf borderId="69" fillId="4" fontId="12" numFmtId="0" xfId="0" applyAlignment="1" applyBorder="1" applyFont="1">
      <alignment vertical="bottom"/>
    </xf>
    <xf borderId="70" fillId="6" fontId="9" numFmtId="0" xfId="0" applyAlignment="1" applyBorder="1" applyFont="1">
      <alignment readingOrder="0" vertical="bottom"/>
    </xf>
    <xf borderId="71" fillId="6" fontId="24" numFmtId="0" xfId="0" applyAlignment="1" applyBorder="1" applyFont="1">
      <alignment readingOrder="0" vertical="bottom"/>
    </xf>
    <xf borderId="71" fillId="6" fontId="42" numFmtId="0" xfId="0" applyAlignment="1" applyBorder="1" applyFont="1">
      <alignment horizontal="right" readingOrder="0" vertical="bottom"/>
    </xf>
    <xf borderId="71" fillId="6" fontId="40" numFmtId="0" xfId="0" applyAlignment="1" applyBorder="1" applyFont="1">
      <alignment horizontal="right" readingOrder="0" vertical="bottom"/>
    </xf>
    <xf borderId="72" fillId="6" fontId="40" numFmtId="0" xfId="0" applyAlignment="1" applyBorder="1" applyFont="1">
      <alignment horizontal="right" readingOrder="0" vertical="bottom"/>
    </xf>
    <xf borderId="73" fillId="3" fontId="4" numFmtId="0" xfId="0" applyAlignment="1" applyBorder="1" applyFont="1">
      <alignment readingOrder="0" vertical="bottom"/>
    </xf>
    <xf borderId="74" fillId="0" fontId="3" numFmtId="0" xfId="0" applyBorder="1" applyFont="1"/>
    <xf borderId="75" fillId="4" fontId="4" numFmtId="0" xfId="0" applyBorder="1" applyFont="1"/>
    <xf borderId="67" fillId="4" fontId="4" numFmtId="0" xfId="0" applyBorder="1" applyFont="1"/>
    <xf borderId="68" fillId="4" fontId="4" numFmtId="0" xfId="0" applyAlignment="1" applyBorder="1" applyFont="1">
      <alignment readingOrder="0"/>
    </xf>
    <xf borderId="76" fillId="4" fontId="4" numFmtId="0" xfId="0" applyBorder="1" applyFont="1"/>
    <xf borderId="77" fillId="4" fontId="4" numFmtId="0" xfId="0" applyBorder="1" applyFont="1"/>
    <xf borderId="78" fillId="4" fontId="4" numFmtId="0" xfId="0" applyBorder="1" applyFont="1"/>
    <xf borderId="79" fillId="4" fontId="12" numFmtId="0" xfId="0" applyAlignment="1" applyBorder="1" applyFont="1">
      <alignment vertical="bottom"/>
    </xf>
    <xf borderId="80" fillId="4" fontId="4" numFmtId="0" xfId="0" applyAlignment="1" applyBorder="1" applyFont="1">
      <alignment horizontal="center" readingOrder="0" textRotation="90" vertical="center"/>
    </xf>
    <xf borderId="81" fillId="6" fontId="43" numFmtId="0" xfId="0" applyAlignment="1" applyBorder="1" applyFont="1">
      <alignment horizontal="center" readingOrder="0"/>
    </xf>
    <xf borderId="61" fillId="6" fontId="43" numFmtId="0" xfId="0" applyAlignment="1" applyBorder="1" applyFont="1">
      <alignment horizontal="center" readingOrder="0"/>
    </xf>
    <xf borderId="82" fillId="6" fontId="43" numFmtId="0" xfId="0" applyAlignment="1" applyBorder="1" applyFont="1">
      <alignment horizontal="center" readingOrder="0"/>
    </xf>
    <xf borderId="83" fillId="4" fontId="5" numFmtId="0" xfId="0" applyBorder="1" applyFont="1"/>
    <xf borderId="84" fillId="4" fontId="12" numFmtId="0" xfId="0" applyAlignment="1" applyBorder="1" applyFont="1">
      <alignment vertical="bottom"/>
    </xf>
    <xf borderId="85" fillId="6" fontId="40" numFmtId="0" xfId="0" applyAlignment="1" applyBorder="1" applyFont="1">
      <alignment horizontal="center" readingOrder="0" vertical="center"/>
    </xf>
    <xf borderId="86" fillId="6" fontId="40" numFmtId="0" xfId="0" applyAlignment="1" applyBorder="1" applyFont="1">
      <alignment horizontal="center" vertical="center"/>
    </xf>
    <xf borderId="87" fillId="6" fontId="40" numFmtId="0" xfId="0" applyAlignment="1" applyBorder="1" applyFont="1">
      <alignment horizontal="center" vertical="center"/>
    </xf>
    <xf borderId="88" fillId="3" fontId="15" numFmtId="0" xfId="0" applyAlignment="1" applyBorder="1" applyFont="1">
      <alignment horizontal="right" readingOrder="0"/>
    </xf>
    <xf borderId="7" fillId="3" fontId="4" numFmtId="0" xfId="0" applyAlignment="1" applyBorder="1" applyFont="1">
      <alignment readingOrder="0"/>
    </xf>
    <xf borderId="89" fillId="3" fontId="4" numFmtId="0" xfId="0" applyAlignment="1" applyBorder="1" applyFont="1">
      <alignment readingOrder="0" vertical="bottom"/>
    </xf>
    <xf borderId="6" fillId="10" fontId="4" numFmtId="0" xfId="0" applyAlignment="1" applyBorder="1" applyFont="1">
      <alignment readingOrder="0"/>
    </xf>
    <xf borderId="89" fillId="3" fontId="4" numFmtId="0" xfId="0" applyAlignment="1" applyBorder="1" applyFont="1">
      <alignment vertical="bottom"/>
    </xf>
    <xf borderId="7" fillId="3" fontId="4" numFmtId="0" xfId="0" applyBorder="1" applyFont="1"/>
    <xf borderId="90" fillId="0" fontId="3" numFmtId="0" xfId="0" applyBorder="1" applyFont="1"/>
    <xf borderId="91" fillId="3" fontId="15" numFmtId="0" xfId="0" applyAlignment="1" applyBorder="1" applyFont="1">
      <alignment horizontal="right" readingOrder="0"/>
    </xf>
    <xf borderId="92" fillId="0" fontId="3" numFmtId="0" xfId="0" applyBorder="1" applyFont="1"/>
    <xf borderId="93" fillId="3" fontId="4" numFmtId="0" xfId="0" applyBorder="1" applyFont="1"/>
    <xf borderId="92" fillId="3" fontId="4" numFmtId="0" xfId="0" applyBorder="1" applyFont="1"/>
    <xf borderId="93" fillId="3" fontId="4" numFmtId="0" xfId="0" applyAlignment="1" applyBorder="1" applyFont="1">
      <alignment vertical="bottom"/>
    </xf>
    <xf borderId="63" fillId="3" fontId="4" numFmtId="0" xfId="0" applyAlignment="1" applyBorder="1" applyFont="1">
      <alignment vertical="bottom"/>
    </xf>
    <xf borderId="94" fillId="4" fontId="4" numFmtId="0" xfId="0" applyBorder="1" applyFont="1"/>
    <xf borderId="6" fillId="7" fontId="9" numFmtId="0" xfId="0" applyAlignment="1" applyBorder="1" applyFont="1">
      <alignment readingOrder="0"/>
    </xf>
    <xf borderId="24" fillId="7" fontId="44" numFmtId="0" xfId="0" applyAlignment="1" applyBorder="1" applyFont="1">
      <alignment horizontal="right" readingOrder="0" vertical="center"/>
    </xf>
    <xf borderId="95" fillId="4" fontId="4" numFmtId="0" xfId="0" applyBorder="1" applyFont="1"/>
    <xf borderId="96" fillId="0" fontId="3" numFmtId="0" xfId="0" applyBorder="1" applyFont="1"/>
    <xf borderId="97" fillId="7" fontId="44" numFmtId="0" xfId="0" applyAlignment="1" applyBorder="1" applyFont="1">
      <alignment horizontal="right" readingOrder="0" vertical="center"/>
    </xf>
    <xf borderId="98" fillId="7" fontId="9" numFmtId="0" xfId="0" applyAlignment="1" applyBorder="1" applyFont="1">
      <alignment readingOrder="0"/>
    </xf>
    <xf borderId="99" fillId="7" fontId="9" numFmtId="0" xfId="0" applyAlignment="1" applyBorder="1" applyFont="1">
      <alignment readingOrder="0"/>
    </xf>
    <xf borderId="24" fillId="7" fontId="45" numFmtId="0" xfId="0" applyAlignment="1" applyBorder="1" applyFont="1">
      <alignment horizontal="right" readingOrder="0" vertical="center"/>
    </xf>
    <xf borderId="24" fillId="8" fontId="24" numFmtId="0" xfId="0" applyAlignment="1" applyBorder="1" applyFont="1">
      <alignment horizontal="right" readingOrder="0" vertical="center"/>
    </xf>
    <xf borderId="7" fillId="3" fontId="4" numFmtId="164" xfId="0" applyAlignment="1" applyBorder="1" applyFont="1" applyNumberFormat="1">
      <alignment readingOrder="0"/>
    </xf>
    <xf borderId="7" fillId="3" fontId="4" numFmtId="165" xfId="0" applyAlignment="1" applyBorder="1" applyFont="1" applyNumberFormat="1">
      <alignment readingOrder="0"/>
    </xf>
    <xf borderId="8" fillId="0" fontId="13" numFmtId="0" xfId="0" applyAlignment="1" applyBorder="1" applyFont="1">
      <alignment readingOrder="0" shrinkToFit="0" vertical="center" wrapText="1"/>
    </xf>
    <xf borderId="6" fillId="7" fontId="9" numFmtId="0" xfId="0" applyAlignment="1" applyBorder="1" applyFont="1">
      <alignment readingOrder="0" vertical="bottom"/>
    </xf>
    <xf borderId="14" fillId="7" fontId="9" numFmtId="0" xfId="0" applyAlignment="1" applyBorder="1" applyFont="1">
      <alignment readingOrder="0" vertical="bottom"/>
    </xf>
    <xf borderId="6" fillId="6" fontId="24" numFmtId="0" xfId="0" applyAlignment="1" applyBorder="1" applyFont="1">
      <alignment readingOrder="0"/>
    </xf>
    <xf borderId="6" fillId="6" fontId="46" numFmtId="0" xfId="0" applyAlignment="1" applyBorder="1" applyFont="1">
      <alignment readingOrder="0"/>
    </xf>
    <xf borderId="8" fillId="3" fontId="16" numFmtId="0" xfId="0" applyAlignment="1" applyBorder="1" applyFont="1">
      <alignment readingOrder="0"/>
    </xf>
    <xf borderId="23" fillId="7" fontId="9" numFmtId="0" xfId="0" applyAlignment="1" applyBorder="1" applyFont="1">
      <alignment readingOrder="0" vertical="bottom"/>
    </xf>
    <xf borderId="15" fillId="4" fontId="4" numFmtId="0" xfId="0" applyBorder="1" applyFont="1"/>
    <xf borderId="6" fillId="4" fontId="16" numFmtId="0" xfId="0" applyAlignment="1" applyBorder="1" applyFont="1">
      <alignment readingOrder="0" shrinkToFit="0" wrapText="1"/>
    </xf>
    <xf borderId="8" fillId="4" fontId="4" numFmtId="0" xfId="0" applyBorder="1" applyFont="1"/>
    <xf borderId="15" fillId="0" fontId="4" numFmtId="0" xfId="0" applyBorder="1" applyFont="1"/>
    <xf borderId="1" fillId="2" fontId="4" numFmtId="0" xfId="0" applyBorder="1" applyFont="1"/>
    <xf borderId="6" fillId="3" fontId="4" numFmtId="0" xfId="0" applyAlignment="1" applyBorder="1" applyFont="1">
      <alignment readingOrder="0"/>
    </xf>
    <xf borderId="4" fillId="4" fontId="42" numFmtId="0" xfId="0" applyAlignment="1" applyBorder="1" applyFont="1">
      <alignment readingOrder="0"/>
    </xf>
    <xf borderId="100" fillId="9" fontId="36" numFmtId="0" xfId="0" applyAlignment="1" applyBorder="1" applyFont="1">
      <alignment horizontal="left" vertical="bottom"/>
    </xf>
    <xf borderId="101" fillId="8" fontId="3" numFmtId="0" xfId="0" applyBorder="1" applyFont="1"/>
    <xf borderId="10" fillId="4" fontId="4" numFmtId="0" xfId="0" applyBorder="1" applyFont="1"/>
    <xf borderId="3" fillId="0" fontId="4" numFmtId="0" xfId="0" applyBorder="1" applyFont="1"/>
    <xf borderId="5" fillId="0" fontId="4" numFmtId="0" xfId="0" applyBorder="1" applyFont="1"/>
    <xf borderId="4" fillId="4" fontId="31" numFmtId="0" xfId="0" applyAlignment="1" applyBorder="1" applyFont="1">
      <alignment readingOrder="0"/>
    </xf>
    <xf borderId="6" fillId="7" fontId="24" numFmtId="0" xfId="0" applyAlignment="1" applyBorder="1" applyFont="1">
      <alignment readingOrder="0"/>
    </xf>
    <xf borderId="4" fillId="10" fontId="12" numFmtId="0" xfId="0" applyAlignment="1" applyBorder="1" applyFont="1">
      <alignment vertical="bottom"/>
    </xf>
    <xf borderId="15" fillId="4" fontId="16" numFmtId="0" xfId="0" applyAlignment="1" applyBorder="1" applyFont="1">
      <alignment readingOrder="0" shrinkToFit="0" wrapText="1"/>
    </xf>
    <xf borderId="4" fillId="0" fontId="47" numFmtId="0" xfId="0" applyAlignment="1" applyBorder="1" applyFont="1">
      <alignment readingOrder="0"/>
    </xf>
    <xf borderId="4" fillId="0" fontId="48" numFmtId="0" xfId="0" applyAlignment="1" applyBorder="1" applyFont="1">
      <alignment readingOrder="0"/>
    </xf>
    <xf borderId="4" fillId="0" fontId="48" numFmtId="0" xfId="0" applyBorder="1" applyFont="1"/>
    <xf borderId="15" fillId="0" fontId="5" numFmtId="0" xfId="0" applyBorder="1" applyFont="1"/>
    <xf borderId="4" fillId="0" fontId="5" numFmtId="0" xfId="0" applyAlignment="1" applyBorder="1" applyFont="1">
      <alignment readingOrder="0"/>
    </xf>
    <xf borderId="8" fillId="0" fontId="49" numFmtId="0" xfId="0" applyAlignment="1" applyBorder="1" applyFont="1">
      <alignment horizontal="center" readingOrder="0"/>
    </xf>
    <xf borderId="14" fillId="8" fontId="50" numFmtId="0" xfId="0" applyAlignment="1" applyBorder="1" applyFont="1">
      <alignment horizontal="right" readingOrder="0"/>
    </xf>
    <xf borderId="6" fillId="8" fontId="5" numFmtId="166" xfId="0" applyAlignment="1" applyBorder="1" applyFont="1" applyNumberFormat="1">
      <alignment readingOrder="0"/>
    </xf>
    <xf borderId="8" fillId="0" fontId="5" numFmtId="0" xfId="0" applyBorder="1" applyFont="1"/>
    <xf borderId="102" fillId="2" fontId="28" numFmtId="0" xfId="0" applyAlignment="1" applyBorder="1" applyFont="1">
      <alignment readingOrder="0"/>
    </xf>
    <xf borderId="103" fillId="0" fontId="3" numFmtId="0" xfId="0" applyBorder="1" applyFont="1"/>
    <xf borderId="104" fillId="0" fontId="3" numFmtId="0" xfId="0" applyBorder="1" applyFont="1"/>
    <xf borderId="105" fillId="6" fontId="51" numFmtId="0" xfId="0" applyAlignment="1" applyBorder="1" applyFont="1">
      <alignment horizontal="center" readingOrder="0" shrinkToFit="0" vertical="center" wrapText="1"/>
    </xf>
    <xf borderId="106" fillId="0" fontId="3" numFmtId="0" xfId="0" applyBorder="1" applyFont="1"/>
    <xf borderId="105" fillId="6" fontId="5" numFmtId="0" xfId="0" applyAlignment="1" applyBorder="1" applyFont="1">
      <alignment horizontal="center" readingOrder="0" shrinkToFit="0" vertical="center" wrapText="1"/>
    </xf>
    <xf borderId="107" fillId="0" fontId="3" numFmtId="0" xfId="0" applyBorder="1" applyFont="1"/>
    <xf borderId="108" fillId="0" fontId="3" numFmtId="0" xfId="0" applyBorder="1" applyFont="1"/>
    <xf borderId="109" fillId="5" fontId="12" numFmtId="0" xfId="0" applyAlignment="1" applyBorder="1" applyFont="1">
      <alignment vertical="bottom"/>
    </xf>
    <xf borderId="110" fillId="0" fontId="3" numFmtId="0" xfId="0" applyBorder="1" applyFont="1"/>
    <xf borderId="111" fillId="0" fontId="3" numFmtId="0" xfId="0" applyBorder="1" applyFont="1"/>
    <xf borderId="112" fillId="11" fontId="12" numFmtId="166" xfId="0" applyAlignment="1" applyBorder="1" applyFill="1" applyFont="1" applyNumberFormat="1">
      <alignment vertical="bottom"/>
    </xf>
    <xf borderId="102" fillId="5" fontId="5" numFmtId="0" xfId="0" applyAlignment="1" applyBorder="1" applyFont="1">
      <alignment horizontal="center" readingOrder="0"/>
    </xf>
    <xf borderId="109" fillId="5" fontId="12" numFmtId="0" xfId="0" applyAlignment="1" applyBorder="1" applyFont="1">
      <alignment horizontal="right" vertical="bottom"/>
    </xf>
    <xf borderId="112" fillId="11" fontId="12" numFmtId="166" xfId="0" applyAlignment="1" applyBorder="1" applyFont="1" applyNumberFormat="1">
      <alignment horizontal="right" vertical="bottom"/>
    </xf>
    <xf borderId="109" fillId="5" fontId="5" numFmtId="0" xfId="0" applyAlignment="1" applyBorder="1" applyFont="1">
      <alignment readingOrder="0"/>
    </xf>
    <xf borderId="112" fillId="11" fontId="5" numFmtId="0" xfId="0" applyBorder="1" applyFont="1"/>
    <xf borderId="113" fillId="0" fontId="3" numFmtId="0" xfId="0" applyBorder="1" applyFont="1"/>
    <xf borderId="114" fillId="5" fontId="30" numFmtId="0" xfId="0" applyAlignment="1" applyBorder="1" applyFont="1">
      <alignment horizontal="right" shrinkToFit="0" vertical="bottom" wrapText="1"/>
    </xf>
    <xf borderId="115" fillId="0" fontId="3" numFmtId="0" xfId="0" applyBorder="1" applyFont="1"/>
    <xf borderId="116" fillId="0" fontId="3" numFmtId="0" xfId="0" applyBorder="1" applyFont="1"/>
    <xf borderId="117" fillId="11" fontId="12" numFmtId="166" xfId="0" applyAlignment="1" applyBorder="1" applyFont="1" applyNumberFormat="1">
      <alignment vertical="bottom"/>
    </xf>
    <xf borderId="118" fillId="6" fontId="5" numFmtId="0" xfId="0" applyBorder="1" applyFont="1"/>
    <xf borderId="119" fillId="0" fontId="3" numFmtId="0" xfId="0" applyBorder="1" applyFont="1"/>
    <xf borderId="120" fillId="0" fontId="3" numFmtId="0" xfId="0" applyBorder="1" applyFont="1"/>
    <xf borderId="114" fillId="5" fontId="12" numFmtId="0" xfId="0" applyAlignment="1" applyBorder="1" applyFont="1">
      <alignment vertical="bottom"/>
    </xf>
    <xf borderId="114" fillId="5" fontId="5" numFmtId="0" xfId="0" applyAlignment="1" applyBorder="1" applyFont="1">
      <alignment readingOrder="0"/>
    </xf>
    <xf borderId="117" fillId="11" fontId="5" numFmtId="0" xfId="0" applyBorder="1" applyFont="1"/>
    <xf borderId="121" fillId="0" fontId="3" numFmtId="0" xfId="0" applyBorder="1" applyFont="1"/>
    <xf borderId="114" fillId="5" fontId="52" numFmtId="0" xfId="0" applyAlignment="1" applyBorder="1" applyFont="1">
      <alignment horizontal="right" vertical="bottom"/>
    </xf>
    <xf borderId="117" fillId="11" fontId="12" numFmtId="166" xfId="0" applyAlignment="1" applyBorder="1" applyFont="1" applyNumberFormat="1">
      <alignment horizontal="right" vertical="bottom"/>
    </xf>
    <xf borderId="122" fillId="6" fontId="5" numFmtId="0" xfId="0" applyAlignment="1" applyBorder="1" applyFont="1">
      <alignment horizontal="center" readingOrder="0"/>
    </xf>
    <xf borderId="123" fillId="0" fontId="3" numFmtId="0" xfId="0" applyBorder="1" applyFont="1"/>
    <xf borderId="114" fillId="5" fontId="30" numFmtId="0" xfId="0" applyAlignment="1" applyBorder="1" applyFont="1">
      <alignment horizontal="right" vertical="bottom"/>
    </xf>
    <xf borderId="114" fillId="5" fontId="53" numFmtId="0" xfId="0" applyAlignment="1" applyBorder="1" applyFont="1">
      <alignment horizontal="right" shrinkToFit="0" vertical="bottom" wrapText="1"/>
    </xf>
    <xf borderId="114" fillId="5" fontId="52" numFmtId="0" xfId="0" applyAlignment="1" applyBorder="1" applyFont="1">
      <alignment horizontal="right" shrinkToFit="0" vertical="bottom" wrapText="1"/>
    </xf>
    <xf borderId="114" fillId="5" fontId="53" numFmtId="0" xfId="0" applyAlignment="1" applyBorder="1" applyFont="1">
      <alignment horizontal="right" vertical="bottom"/>
    </xf>
    <xf borderId="117" fillId="11" fontId="54" numFmtId="0" xfId="0" applyAlignment="1" applyBorder="1" applyFont="1">
      <alignment readingOrder="0"/>
    </xf>
    <xf borderId="114" fillId="5" fontId="12" numFmtId="0" xfId="0" applyAlignment="1" applyBorder="1" applyFont="1">
      <alignment horizontal="right" shrinkToFit="0" vertical="bottom" wrapText="1"/>
    </xf>
    <xf borderId="122" fillId="6" fontId="5" numFmtId="0" xfId="0" applyBorder="1" applyFont="1"/>
    <xf borderId="124" fillId="5" fontId="12" numFmtId="0" xfId="0" applyAlignment="1" applyBorder="1" applyFont="1">
      <alignment vertical="bottom"/>
    </xf>
    <xf borderId="125" fillId="0" fontId="3" numFmtId="0" xfId="0" applyBorder="1" applyFont="1"/>
    <xf borderId="126" fillId="0" fontId="3" numFmtId="0" xfId="0" applyBorder="1" applyFont="1"/>
    <xf borderId="127" fillId="11" fontId="12" numFmtId="166" xfId="0" applyAlignment="1" applyBorder="1" applyFont="1" applyNumberFormat="1">
      <alignment vertical="bottom"/>
    </xf>
    <xf borderId="128" fillId="6" fontId="5" numFmtId="0" xfId="0" applyBorder="1" applyFont="1"/>
    <xf borderId="129" fillId="0" fontId="3" numFmtId="0" xfId="0" applyBorder="1" applyFont="1"/>
    <xf borderId="130" fillId="0" fontId="3" numFmtId="0" xfId="0" applyBorder="1" applyFont="1"/>
    <xf borderId="124" fillId="5" fontId="12" numFmtId="0" xfId="0" applyAlignment="1" applyBorder="1" applyFont="1">
      <alignment horizontal="right" shrinkToFit="0" vertical="bottom" wrapText="1"/>
    </xf>
    <xf borderId="127" fillId="11" fontId="12" numFmtId="166" xfId="0" applyAlignment="1" applyBorder="1" applyFont="1" applyNumberFormat="1">
      <alignment horizontal="right" vertical="bottom"/>
    </xf>
    <xf borderId="124" fillId="5" fontId="5" numFmtId="0" xfId="0" applyAlignment="1" applyBorder="1" applyFont="1">
      <alignment readingOrder="0"/>
    </xf>
    <xf borderId="127" fillId="11" fontId="55" numFmtId="0" xfId="0" applyAlignment="1" applyBorder="1" applyFont="1">
      <alignment readingOrder="0"/>
    </xf>
    <xf borderId="131" fillId="0" fontId="3" numFmtId="0" xfId="0" applyBorder="1" applyFont="1"/>
    <xf borderId="6" fillId="4" fontId="5" numFmtId="0" xfId="0" applyBorder="1" applyFont="1"/>
    <xf borderId="132" fillId="4" fontId="5" numFmtId="0" xfId="0" applyBorder="1" applyFont="1"/>
    <xf borderId="133" fillId="4" fontId="5" numFmtId="0" xfId="0" applyBorder="1" applyFont="1"/>
    <xf borderId="118" fillId="4" fontId="5" numFmtId="0" xfId="0" applyBorder="1" applyFont="1"/>
    <xf borderId="134" fillId="4" fontId="5" numFmtId="0" xfId="0" applyBorder="1" applyFont="1"/>
    <xf borderId="135" fillId="4" fontId="5" numFmtId="0" xfId="0" applyBorder="1" applyFont="1"/>
    <xf borderId="136" fillId="4" fontId="5" numFmtId="0" xfId="0" applyBorder="1" applyFont="1"/>
    <xf borderId="137" fillId="0" fontId="5" numFmtId="0" xfId="0" applyBorder="1" applyFont="1"/>
    <xf borderId="138" fillId="0" fontId="5" numFmtId="0" xfId="0" applyBorder="1" applyFont="1"/>
    <xf quotePrefix="1" borderId="139" fillId="12" fontId="56" numFmtId="0" xfId="0" applyAlignment="1" applyBorder="1" applyFill="1" applyFont="1">
      <alignment horizontal="center" readingOrder="0"/>
    </xf>
    <xf borderId="140" fillId="0" fontId="3" numFmtId="0" xfId="0" applyBorder="1" applyFont="1"/>
    <xf borderId="141" fillId="0" fontId="3" numFmtId="0" xfId="0" applyBorder="1" applyFont="1"/>
    <xf borderId="142" fillId="12" fontId="56" numFmtId="0" xfId="0" applyAlignment="1" applyBorder="1" applyFont="1">
      <alignment horizontal="center" readingOrder="0"/>
    </xf>
    <xf borderId="143" fillId="0" fontId="3" numFmtId="0" xfId="0" applyBorder="1" applyFont="1"/>
    <xf borderId="144" fillId="0" fontId="3" numFmtId="0" xfId="0" applyBorder="1" applyFont="1"/>
    <xf borderId="139" fillId="12" fontId="56" numFmtId="0" xfId="0" applyAlignment="1" applyBorder="1" applyFont="1">
      <alignment horizontal="center" readingOrder="0"/>
    </xf>
    <xf borderId="4" fillId="0" fontId="8" numFmtId="0" xfId="0" applyBorder="1" applyFont="1"/>
    <xf borderId="4" fillId="0" fontId="57" numFmtId="0" xfId="0" applyAlignment="1" applyBorder="1" applyFont="1">
      <alignment readingOrder="0"/>
    </xf>
    <xf borderId="4" fillId="0" fontId="58" numFmtId="0" xfId="0" applyAlignment="1" applyBorder="1" applyFont="1">
      <alignment readingOrder="0"/>
    </xf>
    <xf borderId="15" fillId="0" fontId="8" numFmtId="0" xfId="0" applyAlignment="1" applyBorder="1" applyFont="1">
      <alignment readingOrder="0"/>
    </xf>
    <xf borderId="145" fillId="2" fontId="59" numFmtId="0" xfId="0" applyAlignment="1" applyBorder="1" applyFont="1">
      <alignment readingOrder="0"/>
    </xf>
    <xf borderId="146" fillId="0" fontId="3" numFmtId="0" xfId="0" applyBorder="1" applyFont="1"/>
    <xf borderId="4" fillId="4" fontId="11" numFmtId="0" xfId="0" applyAlignment="1" applyBorder="1" applyFont="1">
      <alignment horizontal="center" readingOrder="0"/>
    </xf>
    <xf borderId="145" fillId="13" fontId="9" numFmtId="0" xfId="0" applyBorder="1" applyFill="1" applyFont="1"/>
    <xf borderId="147" fillId="0" fontId="3" numFmtId="0" xfId="0" applyBorder="1" applyFont="1"/>
    <xf borderId="148" fillId="13" fontId="9" numFmtId="0" xfId="0" applyBorder="1" applyFont="1"/>
    <xf borderId="149" fillId="13" fontId="60" numFmtId="0" xfId="0" applyAlignment="1" applyBorder="1" applyFont="1">
      <alignment horizontal="right" readingOrder="0"/>
    </xf>
    <xf borderId="148" fillId="13" fontId="9" numFmtId="10" xfId="0" applyAlignment="1" applyBorder="1" applyFont="1" applyNumberFormat="1">
      <alignment horizontal="center"/>
    </xf>
    <xf borderId="5" fillId="14" fontId="56" numFmtId="0" xfId="0" applyAlignment="1" applyBorder="1" applyFill="1" applyFont="1">
      <alignment readingOrder="0"/>
    </xf>
    <xf borderId="5" fillId="3" fontId="12" numFmtId="0" xfId="0" applyAlignment="1" applyBorder="1" applyFont="1">
      <alignment horizontal="center" readingOrder="0" vertical="bottom"/>
    </xf>
    <xf borderId="14" fillId="4" fontId="5" numFmtId="0" xfId="0" applyBorder="1" applyFont="1"/>
    <xf borderId="5" fillId="14" fontId="30" numFmtId="0" xfId="0" applyAlignment="1" applyBorder="1" applyFont="1">
      <alignment readingOrder="0" vertical="bottom"/>
    </xf>
    <xf borderId="6" fillId="0" fontId="5" numFmtId="0" xfId="0" applyAlignment="1" applyBorder="1" applyFont="1">
      <alignment shrinkToFit="0" wrapText="0"/>
    </xf>
    <xf borderId="6" fillId="0" fontId="18" numFmtId="0" xfId="0" applyAlignment="1" applyBorder="1" applyFont="1">
      <alignment readingOrder="0" shrinkToFit="0" wrapText="0"/>
    </xf>
    <xf borderId="6" fillId="10" fontId="12" numFmtId="0" xfId="0" applyAlignment="1" applyBorder="1" applyFont="1">
      <alignment horizontal="center" readingOrder="0" vertical="bottom"/>
    </xf>
    <xf borderId="6" fillId="0" fontId="18" numFmtId="0" xfId="0" applyAlignment="1" applyBorder="1" applyFont="1">
      <alignment readingOrder="0"/>
    </xf>
    <xf borderId="6" fillId="14" fontId="56" numFmtId="0" xfId="0" applyAlignment="1" applyBorder="1" applyFont="1">
      <alignment readingOrder="0"/>
    </xf>
    <xf borderId="150" fillId="15" fontId="5" numFmtId="0" xfId="0" applyBorder="1" applyFill="1" applyFont="1"/>
    <xf borderId="151" fillId="15" fontId="56" numFmtId="0" xfId="0" applyAlignment="1" applyBorder="1" applyFont="1">
      <alignment readingOrder="0"/>
    </xf>
    <xf borderId="152" fillId="6" fontId="5" numFmtId="0" xfId="0" applyBorder="1" applyFont="1"/>
    <xf borderId="39" fillId="6" fontId="8" numFmtId="0" xfId="0" applyAlignment="1" applyBorder="1" applyFont="1">
      <alignment readingOrder="0"/>
    </xf>
    <xf borderId="153" fillId="4" fontId="5" numFmtId="0" xfId="0" applyAlignment="1" applyBorder="1" applyFont="1">
      <alignment horizontal="right" readingOrder="0"/>
    </xf>
    <xf borderId="65" fillId="4" fontId="61" numFmtId="0" xfId="0" applyAlignment="1" applyBorder="1" applyFont="1">
      <alignment readingOrder="0"/>
    </xf>
    <xf borderId="154" fillId="0" fontId="3" numFmtId="0" xfId="0" applyBorder="1" applyFont="1"/>
    <xf borderId="155" fillId="6" fontId="5" numFmtId="0" xfId="0" applyBorder="1" applyFont="1"/>
    <xf borderId="65" fillId="6" fontId="8" numFmtId="0" xfId="0" applyAlignment="1" applyBorder="1" applyFont="1">
      <alignment readingOrder="0"/>
    </xf>
    <xf borderId="6" fillId="4" fontId="62" numFmtId="0" xfId="0" applyAlignment="1" applyBorder="1" applyFont="1">
      <alignment readingOrder="0"/>
    </xf>
    <xf borderId="36" fillId="6" fontId="62" numFmtId="0" xfId="0" applyAlignment="1" applyBorder="1" applyFont="1">
      <alignment readingOrder="0"/>
    </xf>
    <xf borderId="156" fillId="6" fontId="62" numFmtId="0" xfId="0" applyAlignment="1" applyBorder="1" applyFont="1">
      <alignment readingOrder="0"/>
    </xf>
    <xf borderId="157" fillId="6" fontId="8" numFmtId="0" xfId="0" applyAlignment="1" applyBorder="1" applyFont="1">
      <alignment horizontal="right" readingOrder="0"/>
    </xf>
    <xf borderId="4" fillId="3" fontId="12" numFmtId="0" xfId="0" applyAlignment="1" applyBorder="1" applyFont="1">
      <alignment vertical="bottom"/>
    </xf>
    <xf borderId="158" fillId="10" fontId="12" numFmtId="0" xfId="0" applyAlignment="1" applyBorder="1" applyFont="1">
      <alignment vertical="bottom"/>
    </xf>
    <xf borderId="153" fillId="6" fontId="62" numFmtId="0" xfId="0" applyAlignment="1" applyBorder="1" applyFont="1">
      <alignment readingOrder="0"/>
    </xf>
    <xf borderId="61" fillId="6" fontId="62" numFmtId="0" xfId="0" applyAlignment="1" applyBorder="1" applyFont="1">
      <alignment readingOrder="0"/>
    </xf>
    <xf borderId="159" fillId="6" fontId="8" numFmtId="0" xfId="0" applyAlignment="1" applyBorder="1" applyFont="1">
      <alignment horizontal="right" readingOrder="0"/>
    </xf>
    <xf borderId="160" fillId="10" fontId="12" numFmtId="0" xfId="0" applyAlignment="1" applyBorder="1" applyFont="1">
      <alignment vertical="bottom"/>
    </xf>
    <xf borderId="155" fillId="6" fontId="62" numFmtId="0" xfId="0" applyAlignment="1" applyBorder="1" applyFont="1">
      <alignment readingOrder="0"/>
    </xf>
    <xf borderId="161" fillId="6" fontId="62" numFmtId="0" xfId="0" applyAlignment="1" applyBorder="1" applyFont="1">
      <alignment readingOrder="0"/>
    </xf>
    <xf borderId="86" fillId="6" fontId="5" numFmtId="0" xfId="0" applyBorder="1" applyFont="1"/>
    <xf borderId="162" fillId="6" fontId="8" numFmtId="0" xfId="0" applyAlignment="1" applyBorder="1" applyFont="1">
      <alignment horizontal="right" readingOrder="0"/>
    </xf>
    <xf borderId="163" fillId="10" fontId="12" numFmtId="0" xfId="0" applyAlignment="1" applyBorder="1" applyFont="1">
      <alignment vertical="bottom"/>
    </xf>
    <xf borderId="6" fillId="14" fontId="62" numFmtId="0" xfId="0" applyAlignment="1" applyBorder="1" applyFont="1">
      <alignment readingOrder="0"/>
    </xf>
    <xf borderId="8" fillId="12" fontId="63" numFmtId="0" xfId="0" applyAlignment="1" applyBorder="1" applyFont="1">
      <alignment readingOrder="0"/>
    </xf>
    <xf borderId="164" fillId="0" fontId="3" numFmtId="0" xfId="0" applyBorder="1" applyFont="1"/>
    <xf borderId="165" fillId="3" fontId="12" numFmtId="0" xfId="0" applyAlignment="1" applyBorder="1" applyFont="1">
      <alignment readingOrder="0" vertical="bottom"/>
    </xf>
    <xf borderId="8" fillId="4" fontId="5" numFmtId="0" xfId="0" applyBorder="1" applyFont="1"/>
    <xf borderId="1" fillId="2" fontId="64" numFmtId="0" xfId="0" applyBorder="1" applyFont="1"/>
    <xf borderId="1" fillId="2" fontId="65" numFmtId="0" xfId="0" applyAlignment="1" applyBorder="1" applyFont="1">
      <alignment readingOrder="0"/>
    </xf>
    <xf borderId="1" fillId="2" fontId="64" numFmtId="0" xfId="0" applyAlignment="1" applyBorder="1" applyFont="1">
      <alignment readingOrder="0"/>
    </xf>
    <xf borderId="166" fillId="2" fontId="66" numFmtId="0" xfId="0" applyAlignment="1" applyBorder="1" applyFont="1">
      <alignment horizontal="center" readingOrder="0"/>
    </xf>
    <xf borderId="167" fillId="2" fontId="67" numFmtId="0" xfId="0" applyAlignment="1" applyBorder="1" applyFont="1">
      <alignment readingOrder="0"/>
    </xf>
    <xf borderId="168" fillId="0" fontId="3" numFmtId="0" xfId="0" applyBorder="1" applyFont="1"/>
    <xf borderId="169" fillId="0" fontId="3" numFmtId="0" xfId="0" applyBorder="1" applyFont="1"/>
    <xf borderId="170" fillId="0" fontId="3" numFmtId="0" xfId="0" applyBorder="1" applyFont="1"/>
    <xf borderId="142" fillId="0" fontId="3" numFmtId="0" xfId="0" applyBorder="1" applyFont="1"/>
    <xf borderId="171" fillId="16" fontId="68" numFmtId="0" xfId="0" applyAlignment="1" applyBorder="1" applyFill="1" applyFont="1">
      <alignment horizontal="center" readingOrder="0"/>
    </xf>
    <xf borderId="172" fillId="16" fontId="30" numFmtId="0" xfId="0" applyAlignment="1" applyBorder="1" applyFont="1">
      <alignment vertical="center"/>
    </xf>
    <xf borderId="173" fillId="0" fontId="3" numFmtId="0" xfId="0" applyBorder="1" applyFont="1"/>
    <xf borderId="13" fillId="3" fontId="52" numFmtId="0" xfId="0" applyAlignment="1" applyBorder="1" applyFont="1">
      <alignment vertical="center"/>
    </xf>
    <xf borderId="3" fillId="4" fontId="12" numFmtId="0" xfId="0" applyAlignment="1" applyBorder="1" applyFont="1">
      <alignment vertical="bottom"/>
    </xf>
    <xf borderId="5" fillId="4" fontId="12" numFmtId="0" xfId="0" applyAlignment="1" applyBorder="1" applyFont="1">
      <alignment vertical="bottom"/>
    </xf>
    <xf borderId="174" fillId="6" fontId="12" numFmtId="0" xfId="0" applyBorder="1" applyFont="1"/>
    <xf borderId="175" fillId="6" fontId="12" numFmtId="0" xfId="0" applyBorder="1" applyFont="1"/>
    <xf borderId="176" fillId="6" fontId="12" numFmtId="0" xfId="0" applyBorder="1" applyFont="1"/>
    <xf borderId="0" fillId="10" fontId="12" numFmtId="0" xfId="0" applyAlignment="1" applyFont="1">
      <alignment vertical="bottom"/>
    </xf>
    <xf borderId="2" fillId="4" fontId="12" numFmtId="0" xfId="0" applyAlignment="1" applyBorder="1" applyFont="1">
      <alignment vertical="bottom"/>
    </xf>
    <xf borderId="43" fillId="6" fontId="12" numFmtId="0" xfId="0" applyBorder="1" applyFont="1"/>
    <xf borderId="61" fillId="6" fontId="12" numFmtId="0" xfId="0" applyBorder="1" applyFont="1"/>
    <xf borderId="177" fillId="6" fontId="12" numFmtId="0" xfId="0" applyBorder="1" applyFont="1"/>
    <xf borderId="178" fillId="16" fontId="69" numFmtId="0" xfId="0" applyAlignment="1" applyBorder="1" applyFont="1">
      <alignment horizontal="center" readingOrder="0" vertical="center"/>
    </xf>
    <xf borderId="171" fillId="16" fontId="56" numFmtId="0" xfId="0" applyAlignment="1" applyBorder="1" applyFont="1">
      <alignment horizontal="left" readingOrder="0" vertical="center"/>
    </xf>
    <xf borderId="178" fillId="16" fontId="5" numFmtId="0" xfId="0" applyAlignment="1" applyBorder="1" applyFont="1">
      <alignment horizontal="left" readingOrder="0"/>
    </xf>
    <xf borderId="178" fillId="16" fontId="5" numFmtId="0" xfId="0" applyAlignment="1" applyBorder="1" applyFont="1">
      <alignment horizontal="left"/>
    </xf>
    <xf borderId="179" fillId="4" fontId="5" numFmtId="0" xfId="0" applyAlignment="1" applyBorder="1" applyFont="1">
      <alignment horizontal="left"/>
    </xf>
    <xf borderId="3" fillId="4" fontId="5" numFmtId="0" xfId="0" applyAlignment="1" applyBorder="1" applyFont="1">
      <alignment horizontal="left"/>
    </xf>
    <xf borderId="61" fillId="6" fontId="5" numFmtId="0" xfId="0" applyAlignment="1" applyBorder="1" applyFont="1">
      <alignment horizontal="left"/>
    </xf>
    <xf borderId="36" fillId="6" fontId="56" numFmtId="0" xfId="0" applyAlignment="1" applyBorder="1" applyFont="1">
      <alignment horizontal="right" readingOrder="0"/>
    </xf>
    <xf borderId="38" fillId="6" fontId="5" numFmtId="0" xfId="0" applyAlignment="1" applyBorder="1" applyFont="1">
      <alignment horizontal="left"/>
    </xf>
    <xf borderId="39" fillId="6" fontId="5" numFmtId="0" xfId="0" applyAlignment="1" applyBorder="1" applyFont="1">
      <alignment horizontal="left"/>
    </xf>
    <xf borderId="4" fillId="4" fontId="5" numFmtId="0" xfId="0" applyAlignment="1" applyBorder="1" applyFont="1">
      <alignment horizontal="center"/>
    </xf>
    <xf borderId="41" fillId="6" fontId="56" numFmtId="0" xfId="0" applyAlignment="1" applyBorder="1" applyFont="1">
      <alignment horizontal="right" readingOrder="0"/>
    </xf>
    <xf borderId="43" fillId="6" fontId="5" numFmtId="0" xfId="0" applyAlignment="1" applyBorder="1" applyFont="1">
      <alignment horizontal="left"/>
    </xf>
    <xf borderId="44" fillId="6" fontId="5" numFmtId="0" xfId="0" applyAlignment="1" applyBorder="1" applyFont="1">
      <alignment horizontal="left"/>
    </xf>
    <xf borderId="61" fillId="6" fontId="5" numFmtId="0" xfId="0" applyAlignment="1" applyBorder="1" applyFont="1">
      <alignment horizontal="center"/>
    </xf>
    <xf borderId="159" fillId="6" fontId="5" numFmtId="0" xfId="0" applyAlignment="1" applyBorder="1" applyFont="1">
      <alignment horizontal="left"/>
    </xf>
    <xf borderId="4" fillId="4" fontId="5" numFmtId="0" xfId="0" applyAlignment="1" applyBorder="1" applyFont="1">
      <alignment horizontal="left"/>
    </xf>
    <xf borderId="61" fillId="6" fontId="56" numFmtId="0" xfId="0" applyAlignment="1" applyBorder="1" applyFont="1">
      <alignment horizontal="center"/>
    </xf>
    <xf borderId="153" fillId="6" fontId="56" numFmtId="0" xfId="0" applyAlignment="1" applyBorder="1" applyFont="1">
      <alignment horizontal="right" readingOrder="0"/>
    </xf>
    <xf borderId="43" fillId="6" fontId="56" numFmtId="0" xfId="0" applyAlignment="1" applyBorder="1" applyFont="1">
      <alignment horizontal="left"/>
    </xf>
    <xf borderId="44" fillId="6" fontId="56" numFmtId="0" xfId="0" applyAlignment="1" applyBorder="1" applyFont="1">
      <alignment horizontal="left"/>
    </xf>
    <xf borderId="159" fillId="6" fontId="5" numFmtId="0" xfId="0" applyAlignment="1" applyBorder="1" applyFont="1">
      <alignment horizontal="center"/>
    </xf>
    <xf borderId="0" fillId="6" fontId="70" numFmtId="0" xfId="0" applyFont="1"/>
    <xf borderId="86" fillId="6" fontId="5" numFmtId="0" xfId="0" applyAlignment="1" applyBorder="1" applyFont="1">
      <alignment horizontal="center"/>
    </xf>
    <xf borderId="180" fillId="6" fontId="56" numFmtId="0" xfId="0" applyAlignment="1" applyBorder="1" applyFont="1">
      <alignment horizontal="right" readingOrder="0"/>
    </xf>
    <xf borderId="181" fillId="0" fontId="3" numFmtId="0" xfId="0" applyBorder="1" applyFont="1"/>
    <xf borderId="182" fillId="0" fontId="3" numFmtId="0" xfId="0" applyBorder="1" applyFont="1"/>
    <xf borderId="182" fillId="6" fontId="5" numFmtId="0" xfId="0" applyAlignment="1" applyBorder="1" applyFont="1">
      <alignment horizontal="left"/>
    </xf>
    <xf borderId="86" fillId="6" fontId="5" numFmtId="0" xfId="0" applyAlignment="1" applyBorder="1" applyFont="1">
      <alignment horizontal="left"/>
    </xf>
    <xf borderId="183" fillId="6" fontId="5" numFmtId="0" xfId="0" applyAlignment="1" applyBorder="1" applyFont="1">
      <alignment horizontal="center"/>
    </xf>
    <xf borderId="184" fillId="6" fontId="56" numFmtId="0" xfId="0" applyAlignment="1" applyBorder="1" applyFont="1">
      <alignment horizontal="right" readingOrder="0"/>
    </xf>
    <xf borderId="161" fillId="6" fontId="5" numFmtId="0" xfId="0" applyAlignment="1" applyBorder="1" applyFont="1">
      <alignment horizontal="center"/>
    </xf>
    <xf borderId="46" fillId="6" fontId="56" numFmtId="0" xfId="0" applyAlignment="1" applyBorder="1" applyFont="1">
      <alignment horizontal="right" readingOrder="0"/>
    </xf>
    <xf borderId="48" fillId="6" fontId="5" numFmtId="0" xfId="0" applyAlignment="1" applyBorder="1" applyFont="1">
      <alignment horizontal="left"/>
    </xf>
    <xf borderId="161" fillId="6" fontId="5" numFmtId="0" xfId="0" applyAlignment="1" applyBorder="1" applyFont="1">
      <alignment horizontal="left"/>
    </xf>
    <xf borderId="162" fillId="6" fontId="5" numFmtId="0" xfId="0" applyAlignment="1" applyBorder="1" applyFont="1">
      <alignment horizontal="center"/>
    </xf>
    <xf borderId="4" fillId="0" fontId="5" numFmtId="0" xfId="0" applyAlignment="1" applyBorder="1" applyFont="1">
      <alignment horizontal="center"/>
    </xf>
    <xf borderId="185" fillId="16" fontId="69" numFmtId="0" xfId="0" applyAlignment="1" applyBorder="1" applyFont="1">
      <alignment horizontal="center" readingOrder="0" vertical="center"/>
    </xf>
    <xf borderId="186" fillId="16" fontId="56" numFmtId="0" xfId="0" applyAlignment="1" applyBorder="1" applyFont="1">
      <alignment horizontal="left" readingOrder="0" vertical="center"/>
    </xf>
    <xf borderId="185" fillId="16" fontId="5" numFmtId="0" xfId="0" applyAlignment="1" applyBorder="1" applyFont="1">
      <alignment horizontal="left" readingOrder="0"/>
    </xf>
    <xf borderId="185" fillId="16" fontId="71" numFmtId="0" xfId="0" applyAlignment="1" applyBorder="1" applyFont="1">
      <alignment horizontal="center" readingOrder="0"/>
    </xf>
    <xf borderId="187" fillId="16" fontId="71" numFmtId="0" xfId="0" applyAlignment="1" applyBorder="1" applyFont="1">
      <alignment horizontal="center" readingOrder="0"/>
    </xf>
    <xf borderId="188" fillId="4" fontId="3" numFmtId="0" xfId="0" applyBorder="1" applyFont="1"/>
    <xf borderId="185" fillId="16" fontId="5" numFmtId="0" xfId="0" applyAlignment="1" applyBorder="1" applyFont="1">
      <alignment horizontal="left"/>
    </xf>
    <xf borderId="189" fillId="16" fontId="5" numFmtId="0" xfId="0" applyAlignment="1" applyBorder="1" applyFont="1">
      <alignment horizontal="left"/>
    </xf>
    <xf borderId="4" fillId="17" fontId="72" numFmtId="0" xfId="0" applyAlignment="1" applyBorder="1" applyFill="1" applyFont="1">
      <alignment horizontal="left"/>
    </xf>
    <xf borderId="6" fillId="17" fontId="5" numFmtId="0" xfId="0" applyAlignment="1" applyBorder="1" applyFont="1">
      <alignment readingOrder="0"/>
    </xf>
    <xf borderId="14" fillId="10" fontId="3" numFmtId="0" xfId="0" applyBorder="1" applyFont="1"/>
    <xf borderId="7" fillId="10" fontId="3" numFmtId="0" xfId="0" applyBorder="1" applyFont="1"/>
    <xf borderId="6" fillId="17" fontId="72" numFmtId="0" xfId="0" applyAlignment="1" applyBorder="1" applyFont="1">
      <alignment horizontal="left"/>
    </xf>
    <xf borderId="4" fillId="17" fontId="5" numFmtId="0" xfId="0" applyAlignment="1" applyBorder="1" applyFont="1">
      <alignment horizontal="left"/>
    </xf>
    <xf borderId="6" fillId="4" fontId="5" numFmtId="0" xfId="0" applyAlignment="1" applyBorder="1" applyFont="1">
      <alignment horizontal="left" readingOrder="0"/>
    </xf>
    <xf borderId="14" fillId="4" fontId="3" numFmtId="0" xfId="0" applyBorder="1" applyFont="1"/>
    <xf borderId="7" fillId="4" fontId="3" numFmtId="0" xfId="0" applyBorder="1" applyFont="1"/>
    <xf borderId="6" fillId="4" fontId="5" numFmtId="0" xfId="0" applyAlignment="1" applyBorder="1" applyFont="1">
      <alignment horizontal="left"/>
    </xf>
    <xf borderId="4" fillId="10" fontId="5" numFmtId="0" xfId="0" applyAlignment="1" applyBorder="1" applyFont="1">
      <alignment horizontal="left"/>
    </xf>
    <xf borderId="6" fillId="10" fontId="5" numFmtId="0" xfId="0" applyAlignment="1" applyBorder="1" applyFont="1">
      <alignment horizontal="left" readingOrder="0"/>
    </xf>
    <xf borderId="6" fillId="10" fontId="5" numFmtId="0" xfId="0" applyAlignment="1" applyBorder="1" applyFont="1">
      <alignment horizontal="left"/>
    </xf>
    <xf borderId="4" fillId="4" fontId="5" numFmtId="0" xfId="0" applyAlignment="1" applyBorder="1" applyFont="1">
      <alignment horizontal="left" readingOrder="0"/>
    </xf>
    <xf borderId="7" fillId="4" fontId="5" numFmtId="0" xfId="0" applyAlignment="1" applyBorder="1" applyFont="1">
      <alignment horizontal="left"/>
    </xf>
    <xf borderId="185" fillId="16" fontId="73" numFmtId="0" xfId="0" applyAlignment="1" applyBorder="1" applyFont="1">
      <alignment horizontal="center" readingOrder="0" vertical="center"/>
    </xf>
    <xf borderId="185" fillId="16" fontId="56" numFmtId="0" xfId="0" applyAlignment="1" applyBorder="1" applyFont="1">
      <alignment horizontal="center" readingOrder="0"/>
    </xf>
    <xf borderId="187" fillId="16" fontId="56" numFmtId="0" xfId="0" applyAlignment="1" applyBorder="1" applyFont="1">
      <alignment horizontal="center" readingOrder="0"/>
    </xf>
    <xf borderId="188" fillId="10" fontId="3" numFmtId="0" xfId="0" applyBorder="1" applyFont="1"/>
    <xf borderId="185" fillId="16" fontId="56" numFmtId="0" xfId="0" applyAlignment="1" applyBorder="1" applyFont="1">
      <alignment horizontal="center"/>
    </xf>
    <xf borderId="190" fillId="17" fontId="56" numFmtId="0" xfId="0" applyBorder="1" applyFont="1"/>
    <xf borderId="14" fillId="17" fontId="3" numFmtId="0" xfId="0" applyBorder="1" applyFont="1"/>
    <xf borderId="7" fillId="17" fontId="3" numFmtId="0" xfId="0" applyBorder="1" applyFont="1"/>
    <xf borderId="191" fillId="17" fontId="56" numFmtId="0" xfId="0" applyAlignment="1" applyBorder="1" applyFont="1">
      <alignment horizontal="center"/>
    </xf>
    <xf borderId="192" fillId="17" fontId="56" numFmtId="0" xfId="0" applyAlignment="1" applyBorder="1" applyFont="1">
      <alignment horizontal="center"/>
    </xf>
    <xf borderId="193" fillId="17" fontId="3" numFmtId="0" xfId="0" applyBorder="1" applyFont="1"/>
    <xf borderId="190" fillId="17" fontId="56" numFmtId="0" xfId="0" applyAlignment="1" applyBorder="1" applyFont="1">
      <alignment horizontal="center"/>
    </xf>
    <xf borderId="190" fillId="17" fontId="5" numFmtId="0" xfId="0" applyBorder="1" applyFont="1"/>
    <xf borderId="192" fillId="17" fontId="5" numFmtId="0" xfId="0" applyBorder="1" applyFont="1"/>
    <xf borderId="194" fillId="17" fontId="5" numFmtId="0" xfId="0" applyBorder="1" applyFont="1"/>
    <xf borderId="195" fillId="4" fontId="5" numFmtId="0" xfId="0" applyAlignment="1" applyBorder="1" applyFont="1">
      <alignment horizontal="center"/>
    </xf>
    <xf borderId="6" fillId="4" fontId="5" numFmtId="0" xfId="0" applyAlignment="1" applyBorder="1" applyFont="1">
      <alignment readingOrder="0"/>
    </xf>
    <xf borderId="6" fillId="4" fontId="5" numFmtId="0" xfId="0" applyAlignment="1" applyBorder="1" applyFont="1">
      <alignment horizontal="center"/>
    </xf>
    <xf borderId="196" fillId="4" fontId="3" numFmtId="0" xfId="0" applyBorder="1" applyFont="1"/>
    <xf borderId="197" fillId="4" fontId="5" numFmtId="0" xfId="0" applyAlignment="1" applyBorder="1" applyFont="1">
      <alignment horizontal="center"/>
    </xf>
    <xf borderId="4" fillId="10" fontId="5" numFmtId="0" xfId="0" applyAlignment="1" applyBorder="1" applyFont="1">
      <alignment horizontal="center"/>
    </xf>
    <xf borderId="6" fillId="10" fontId="5" numFmtId="0" xfId="0" applyAlignment="1" applyBorder="1" applyFont="1">
      <alignment readingOrder="0"/>
    </xf>
    <xf borderId="4" fillId="10" fontId="5" numFmtId="0" xfId="0" applyAlignment="1" applyBorder="1" applyFont="1">
      <alignment horizontal="right"/>
    </xf>
    <xf borderId="4" fillId="10" fontId="5" numFmtId="164" xfId="0" applyAlignment="1" applyBorder="1" applyFont="1" applyNumberFormat="1">
      <alignment horizontal="right"/>
    </xf>
    <xf borderId="4" fillId="10" fontId="5" numFmtId="0" xfId="0" applyAlignment="1" applyBorder="1" applyFont="1">
      <alignment horizontal="left" readingOrder="0"/>
    </xf>
    <xf borderId="6" fillId="10" fontId="5" numFmtId="165" xfId="0" applyAlignment="1" applyBorder="1" applyFont="1" applyNumberFormat="1">
      <alignment horizontal="right"/>
    </xf>
    <xf borderId="4" fillId="10" fontId="5" numFmtId="165" xfId="0" applyAlignment="1" applyBorder="1" applyFont="1" applyNumberFormat="1">
      <alignment horizontal="right"/>
    </xf>
    <xf borderId="6" fillId="4" fontId="5" numFmtId="0" xfId="0" applyAlignment="1" applyBorder="1" applyFont="1">
      <alignment horizontal="right"/>
    </xf>
    <xf borderId="198" fillId="4" fontId="5" numFmtId="0" xfId="0" applyAlignment="1" applyBorder="1" applyFont="1">
      <alignment horizontal="right"/>
    </xf>
    <xf borderId="195" fillId="4" fontId="5" numFmtId="0" xfId="0" applyAlignment="1" applyBorder="1" applyFont="1">
      <alignment horizontal="right"/>
    </xf>
    <xf borderId="4" fillId="4" fontId="5" numFmtId="0" xfId="0" applyAlignment="1" applyBorder="1" applyFont="1">
      <alignment horizontal="right"/>
    </xf>
    <xf borderId="4" fillId="10" fontId="5" numFmtId="0" xfId="0" applyAlignment="1" applyBorder="1" applyFont="1">
      <alignment horizontal="left" readingOrder="0"/>
    </xf>
    <xf borderId="4" fillId="4" fontId="5" numFmtId="0" xfId="0" applyAlignment="1" applyBorder="1" applyFont="1">
      <alignment horizontal="left" readingOrder="0"/>
    </xf>
    <xf borderId="6" fillId="4" fontId="5" numFmtId="0" xfId="0" applyAlignment="1" applyBorder="1" applyFont="1">
      <alignment horizontal="left" readingOrder="0"/>
    </xf>
    <xf borderId="1" fillId="2" fontId="12" numFmtId="0" xfId="0" applyAlignment="1" applyBorder="1" applyFont="1">
      <alignment vertical="bottom"/>
    </xf>
    <xf borderId="0" fillId="2" fontId="12" numFmtId="0" xfId="0" applyAlignment="1" applyFont="1">
      <alignment vertical="bottom"/>
    </xf>
    <xf borderId="2" fillId="0" fontId="12" numFmtId="0" xfId="0" applyAlignment="1" applyBorder="1" applyFont="1">
      <alignment vertical="bottom"/>
    </xf>
    <xf borderId="3" fillId="0" fontId="12" numFmtId="0" xfId="0" applyAlignment="1" applyBorder="1" applyFont="1">
      <alignment vertical="bottom"/>
    </xf>
    <xf borderId="5" fillId="0" fontId="12" numFmtId="0" xfId="0" applyAlignment="1" applyBorder="1" applyFont="1">
      <alignment vertical="bottom"/>
    </xf>
    <xf borderId="8" fillId="0" fontId="2" numFmtId="0" xfId="0" applyAlignment="1" applyBorder="1" applyFont="1">
      <alignment vertical="bottom"/>
    </xf>
    <xf borderId="4" fillId="0" fontId="8" numFmtId="0" xfId="0" applyAlignment="1" applyBorder="1" applyFont="1">
      <alignment vertical="bottom"/>
    </xf>
    <xf borderId="4" fillId="0" fontId="74" numFmtId="0" xfId="0" applyAlignment="1" applyBorder="1" applyFont="1">
      <alignment vertical="bottom"/>
    </xf>
    <xf borderId="13" fillId="4" fontId="12" numFmtId="0" xfId="0" applyAlignment="1" applyBorder="1" applyFont="1">
      <alignment vertical="bottom"/>
    </xf>
    <xf borderId="8" fillId="9" fontId="12" numFmtId="0" xfId="0" applyAlignment="1" applyBorder="1" applyFont="1">
      <alignment vertical="top"/>
    </xf>
    <xf borderId="166" fillId="2" fontId="75" numFmtId="0" xfId="0" applyAlignment="1" applyBorder="1" applyFont="1">
      <alignment horizontal="center" readingOrder="0"/>
    </xf>
    <xf borderId="167" fillId="2" fontId="76" numFmtId="0" xfId="0" applyAlignment="1" applyBorder="1" applyFont="1">
      <alignment readingOrder="0"/>
    </xf>
    <xf borderId="1" fillId="2" fontId="77" numFmtId="0" xfId="0" applyAlignment="1" applyBorder="1" applyFont="1">
      <alignment horizontal="right" readingOrder="0"/>
    </xf>
    <xf borderId="1" fillId="2" fontId="77" numFmtId="0" xfId="0" applyBorder="1" applyFont="1"/>
    <xf borderId="1" fillId="2" fontId="5" numFmtId="0" xfId="0" applyBorder="1" applyFont="1"/>
    <xf borderId="1" fillId="2" fontId="76" numFmtId="0" xfId="0" applyAlignment="1" applyBorder="1" applyFont="1">
      <alignment readingOrder="0"/>
    </xf>
    <xf borderId="4" fillId="0" fontId="78" numFmtId="0" xfId="0" applyAlignment="1" applyBorder="1" applyFont="1">
      <alignment readingOrder="0"/>
    </xf>
    <xf borderId="199" fillId="3" fontId="56" numFmtId="0" xfId="0" applyBorder="1" applyFont="1"/>
    <xf borderId="200" fillId="3" fontId="5" numFmtId="0" xfId="0" applyBorder="1" applyFont="1"/>
    <xf borderId="7" fillId="4" fontId="5" numFmtId="0" xfId="0" applyBorder="1" applyFont="1"/>
    <xf borderId="0" fillId="0" fontId="78" numFmtId="0" xfId="0" applyFont="1"/>
    <xf borderId="4" fillId="0" fontId="79" numFmtId="0" xfId="0" applyAlignment="1" applyBorder="1" applyFont="1">
      <alignment horizontal="right" readingOrder="0"/>
    </xf>
    <xf borderId="4" fillId="11" fontId="56" numFmtId="0" xfId="0" applyAlignment="1" applyBorder="1" applyFont="1">
      <alignment horizontal="center"/>
    </xf>
    <xf borderId="4" fillId="0" fontId="78" numFmtId="0" xfId="0" applyAlignment="1" applyBorder="1" applyFont="1">
      <alignment horizontal="right" readingOrder="0"/>
    </xf>
    <xf borderId="199" fillId="3" fontId="5" numFmtId="0" xfId="0" applyBorder="1" applyFont="1"/>
    <xf borderId="201" fillId="11" fontId="5" numFmtId="0" xfId="0" applyBorder="1" applyFont="1"/>
    <xf borderId="202" fillId="11" fontId="5" numFmtId="0" xfId="0" applyBorder="1" applyFont="1"/>
    <xf borderId="203" fillId="11" fontId="5" numFmtId="0" xfId="0" applyBorder="1" applyFont="1"/>
    <xf borderId="204" fillId="11" fontId="5" numFmtId="0" xfId="0" applyBorder="1" applyFont="1"/>
    <xf borderId="205" fillId="3" fontId="5" numFmtId="164" xfId="0" applyBorder="1" applyFont="1" applyNumberFormat="1"/>
    <xf borderId="205" fillId="3" fontId="5" numFmtId="0" xfId="0" applyBorder="1" applyFont="1"/>
    <xf borderId="206" fillId="11" fontId="5" numFmtId="0" xfId="0" applyBorder="1" applyFont="1"/>
    <xf borderId="207" fillId="0" fontId="3" numFmtId="0" xfId="0" applyBorder="1" applyFont="1"/>
    <xf borderId="208" fillId="0" fontId="3" numFmtId="0" xfId="0" applyBorder="1" applyFont="1"/>
    <xf borderId="4" fillId="0" fontId="78" numFmtId="0" xfId="0" applyBorder="1" applyFont="1"/>
    <xf borderId="209" fillId="11" fontId="5" numFmtId="0" xfId="0" applyBorder="1" applyFont="1"/>
    <xf borderId="210" fillId="11" fontId="5" numFmtId="0" xfId="0" applyBorder="1" applyFont="1"/>
    <xf borderId="211" fillId="0" fontId="5" numFmtId="0" xfId="0" applyAlignment="1" applyBorder="1" applyFont="1">
      <alignment horizontal="center" readingOrder="0"/>
    </xf>
    <xf borderId="212" fillId="0" fontId="3" numFmtId="0" xfId="0" applyBorder="1" applyFont="1"/>
    <xf borderId="7" fillId="0" fontId="56" numFmtId="0" xfId="0" applyBorder="1" applyFont="1"/>
    <xf borderId="211" fillId="3" fontId="5" numFmtId="0" xfId="0" applyAlignment="1" applyBorder="1" applyFont="1">
      <alignment horizontal="center"/>
    </xf>
    <xf borderId="213" fillId="0" fontId="5" numFmtId="0" xfId="0" applyBorder="1" applyFont="1"/>
    <xf borderId="214" fillId="0" fontId="3" numFmtId="0" xfId="0" applyBorder="1" applyFont="1"/>
    <xf borderId="215" fillId="11" fontId="5" numFmtId="0" xfId="0" applyBorder="1" applyFont="1"/>
    <xf borderId="216" fillId="3" fontId="5" numFmtId="0" xfId="0" applyBorder="1" applyFont="1"/>
    <xf borderId="217" fillId="3" fontId="5" numFmtId="0" xfId="0" applyBorder="1" applyFont="1"/>
    <xf borderId="11" fillId="11" fontId="5" numFmtId="0" xfId="0" applyAlignment="1" applyBorder="1" applyFont="1">
      <alignment shrinkToFit="0" vertical="top" wrapText="1"/>
    </xf>
    <xf borderId="218" fillId="0" fontId="3" numFmtId="0" xfId="0" applyBorder="1" applyFont="1"/>
    <xf borderId="219" fillId="11" fontId="5" numFmtId="0" xfId="0" applyAlignment="1" applyBorder="1" applyFont="1">
      <alignment shrinkToFit="0" vertical="top" wrapText="1"/>
    </xf>
    <xf borderId="220" fillId="0" fontId="3" numFmtId="0" xfId="0" applyBorder="1" applyFont="1"/>
    <xf borderId="221" fillId="0" fontId="3" numFmtId="0" xfId="0" applyBorder="1" applyFont="1"/>
    <xf borderId="3" fillId="4" fontId="5" numFmtId="0" xfId="0" applyAlignment="1" applyBorder="1" applyFont="1">
      <alignment shrinkToFit="0" vertical="top" wrapText="1"/>
    </xf>
    <xf borderId="8" fillId="4" fontId="56" numFmtId="0" xfId="0" applyAlignment="1" applyBorder="1" applyFont="1">
      <alignment readingOrder="0" shrinkToFit="0" vertical="top" wrapText="1"/>
    </xf>
    <xf borderId="4" fillId="4" fontId="56" numFmtId="0" xfId="0" applyAlignment="1" applyBorder="1" applyFont="1">
      <alignment readingOrder="0" shrinkToFit="0" vertical="top" wrapText="1"/>
    </xf>
    <xf borderId="145" fillId="11" fontId="5" numFmtId="0" xfId="0" applyAlignment="1" applyBorder="1" applyFont="1">
      <alignment horizontal="left" readingOrder="0" shrinkToFit="0" vertical="top" wrapText="1"/>
    </xf>
    <xf borderId="222" fillId="0" fontId="3" numFmtId="0" xfId="0" applyBorder="1" applyFont="1"/>
    <xf borderId="13" fillId="4" fontId="80" numFmtId="0" xfId="0" applyAlignment="1" applyBorder="1" applyFont="1">
      <alignment horizontal="left"/>
    </xf>
    <xf borderId="145" fillId="11" fontId="5" numFmtId="0" xfId="0" applyAlignment="1" applyBorder="1" applyFont="1">
      <alignment readingOrder="0" shrinkToFit="0" vertical="top" wrapText="1"/>
    </xf>
    <xf borderId="3" fillId="4" fontId="78" numFmtId="0" xfId="0" applyBorder="1" applyFont="1"/>
    <xf borderId="145" fillId="11" fontId="5" numFmtId="0" xfId="0" applyAlignment="1" applyBorder="1" applyFont="1">
      <alignment shrinkToFit="0" vertical="top" wrapText="1"/>
    </xf>
    <xf borderId="4" fillId="4" fontId="78" numFmtId="0" xfId="0" applyBorder="1" applyFont="1"/>
    <xf borderId="4" fillId="4" fontId="5" numFmtId="0" xfId="0" applyAlignment="1" applyBorder="1" applyFont="1">
      <alignment readingOrder="0"/>
    </xf>
    <xf borderId="4" fillId="4" fontId="5" numFmtId="0" xfId="0" applyAlignment="1" applyBorder="1" applyFont="1">
      <alignment shrinkToFit="0" vertical="top" wrapText="1"/>
    </xf>
    <xf borderId="0" fillId="2" fontId="81" numFmtId="0" xfId="0" applyAlignment="1" applyFont="1">
      <alignment vertical="bottom"/>
    </xf>
    <xf borderId="0" fillId="2" fontId="81" numFmtId="167" xfId="0" applyAlignment="1" applyFont="1" applyNumberFormat="1">
      <alignment vertical="bottom"/>
    </xf>
    <xf borderId="0" fillId="0" fontId="82" numFmtId="0" xfId="0" applyFont="1"/>
    <xf borderId="0" fillId="0" fontId="82" numFmtId="0" xfId="0" applyAlignment="1" applyFont="1">
      <alignment vertical="bottom"/>
    </xf>
    <xf borderId="0" fillId="0" fontId="82" numFmtId="167" xfId="0" applyAlignment="1" applyFont="1" applyNumberFormat="1">
      <alignment horizontal="right" vertical="bottom"/>
    </xf>
    <xf borderId="0" fillId="0" fontId="82" numFmtId="167" xfId="0" applyAlignment="1" applyFont="1" applyNumberFormat="1">
      <alignment vertical="bottom"/>
    </xf>
    <xf borderId="0" fillId="0" fontId="80" numFmtId="0" xfId="0" applyFont="1"/>
    <xf borderId="0" fillId="0" fontId="5" numFmtId="167" xfId="0" applyFont="1" applyNumberFormat="1"/>
    <xf borderId="8" fillId="0" fontId="83" numFmtId="0" xfId="0" applyAlignment="1" applyBorder="1" applyFont="1">
      <alignment vertical="bottom"/>
    </xf>
    <xf borderId="4" fillId="0" fontId="84" numFmtId="0" xfId="0" applyAlignment="1" applyBorder="1" applyFont="1">
      <alignment horizontal="center" vertical="bottom"/>
    </xf>
    <xf borderId="4" fillId="0" fontId="84" numFmtId="0" xfId="0" applyAlignment="1" applyBorder="1" applyFont="1">
      <alignment horizontal="center" readingOrder="0" vertical="bottom"/>
    </xf>
    <xf borderId="4" fillId="0" fontId="85" numFmtId="0" xfId="0" applyAlignment="1" applyBorder="1" applyFont="1">
      <alignment horizontal="center" vertical="bottom"/>
    </xf>
    <xf borderId="6" fillId="0" fontId="12" numFmtId="0" xfId="0" applyAlignment="1" applyBorder="1" applyFont="1">
      <alignment horizontal="right" readingOrder="0" shrinkToFit="0" vertical="bottom" wrapText="0"/>
    </xf>
    <xf borderId="6" fillId="0" fontId="86" numFmtId="0" xfId="0" applyAlignment="1" applyBorder="1" applyFont="1">
      <alignment vertical="bottom"/>
    </xf>
    <xf borderId="9" fillId="4" fontId="5" numFmtId="0" xfId="0" applyAlignment="1" applyBorder="1" applyFont="1">
      <alignment horizontal="right"/>
    </xf>
    <xf borderId="4" fillId="18" fontId="87" numFmtId="0" xfId="0" applyAlignment="1" applyBorder="1" applyFill="1" applyFont="1">
      <alignment vertical="bottom"/>
    </xf>
    <xf borderId="4" fillId="4" fontId="87" numFmtId="14" xfId="0" applyAlignment="1" applyBorder="1" applyFont="1" applyNumberFormat="1">
      <alignment vertical="bottom"/>
    </xf>
    <xf borderId="4" fillId="0" fontId="87" numFmtId="0" xfId="0" applyAlignment="1" applyBorder="1" applyFont="1">
      <alignment horizontal="right" vertical="bottom"/>
    </xf>
    <xf borderId="18" fillId="0" fontId="88" numFmtId="0" xfId="0" applyAlignment="1" applyBorder="1" applyFont="1">
      <alignment vertical="bottom"/>
    </xf>
    <xf borderId="18" fillId="0" fontId="12" numFmtId="0" xfId="0" applyAlignment="1" applyBorder="1" applyFont="1">
      <alignment vertical="bottom"/>
    </xf>
    <xf borderId="18" fillId="0" fontId="88" numFmtId="0" xfId="0" applyAlignment="1" applyBorder="1" applyFont="1">
      <alignment horizontal="right" vertical="bottom"/>
    </xf>
    <xf borderId="223" fillId="18" fontId="87" numFmtId="0" xfId="0" applyAlignment="1" applyBorder="1" applyFont="1">
      <alignment vertical="top"/>
    </xf>
    <xf borderId="224" fillId="0" fontId="3" numFmtId="0" xfId="0" applyBorder="1" applyFont="1"/>
    <xf borderId="225" fillId="0" fontId="3" numFmtId="0" xfId="0" applyBorder="1" applyFont="1"/>
    <xf borderId="225" fillId="0" fontId="87" numFmtId="168" xfId="0" applyAlignment="1" applyBorder="1" applyFont="1" applyNumberFormat="1">
      <alignment horizontal="right" vertical="top"/>
    </xf>
    <xf borderId="15" fillId="0" fontId="12" numFmtId="0" xfId="0" applyAlignment="1" applyBorder="1" applyFont="1">
      <alignment vertical="bottom"/>
    </xf>
    <xf borderId="226" fillId="0" fontId="87" numFmtId="0" xfId="0" applyAlignment="1" applyBorder="1" applyFont="1">
      <alignment vertical="bottom"/>
    </xf>
    <xf borderId="227" fillId="0" fontId="12" numFmtId="0" xfId="0" applyAlignment="1" applyBorder="1" applyFont="1">
      <alignment vertical="bottom"/>
    </xf>
    <xf borderId="228" fillId="0" fontId="87" numFmtId="168" xfId="0" applyAlignment="1" applyBorder="1" applyFont="1" applyNumberFormat="1">
      <alignment horizontal="right" vertical="top"/>
    </xf>
    <xf borderId="229" fillId="0" fontId="87" numFmtId="0" xfId="0" applyAlignment="1" applyBorder="1" applyFont="1">
      <alignment vertical="bottom"/>
    </xf>
    <xf borderId="230" fillId="0" fontId="12" numFmtId="0" xfId="0" applyAlignment="1" applyBorder="1" applyFont="1">
      <alignment vertical="bottom"/>
    </xf>
    <xf borderId="231" fillId="0" fontId="12" numFmtId="0" xfId="0" applyAlignment="1" applyBorder="1" applyFont="1">
      <alignment vertical="bottom"/>
    </xf>
    <xf borderId="232" fillId="0" fontId="87" numFmtId="168" xfId="0" applyAlignment="1" applyBorder="1" applyFont="1" applyNumberFormat="1">
      <alignment horizontal="right" vertical="bottom"/>
    </xf>
    <xf borderId="233" fillId="18" fontId="89" numFmtId="0" xfId="0" applyAlignment="1" applyBorder="1" applyFont="1">
      <alignment vertical="bottom"/>
    </xf>
    <xf borderId="234" fillId="18" fontId="12" numFmtId="0" xfId="0" applyAlignment="1" applyBorder="1" applyFont="1">
      <alignment vertical="bottom"/>
    </xf>
    <xf borderId="235" fillId="18" fontId="87" numFmtId="168" xfId="0" applyAlignment="1" applyBorder="1" applyFont="1" applyNumberFormat="1">
      <alignment horizontal="right" vertical="top"/>
    </xf>
    <xf borderId="4" fillId="0" fontId="90" numFmtId="0" xfId="0" applyAlignment="1" applyBorder="1" applyFont="1">
      <alignment readingOrder="0" vertical="bottom"/>
    </xf>
    <xf borderId="4" fillId="0" fontId="90" numFmtId="0" xfId="0" applyAlignment="1" applyBorder="1" applyFont="1">
      <alignment vertical="bottom"/>
    </xf>
    <xf borderId="6" fillId="0" fontId="91" numFmtId="0" xfId="0" applyAlignment="1" applyBorder="1" applyFont="1">
      <alignment readingOrder="0" vertical="bottom"/>
    </xf>
    <xf borderId="4" fillId="0" fontId="12" numFmtId="0" xfId="0" applyAlignment="1" applyBorder="1" applyFont="1">
      <alignment horizontal="right" readingOrder="0" vertical="bottom"/>
    </xf>
    <xf borderId="4" fillId="0" fontId="12" numFmtId="0" xfId="0" applyAlignment="1" applyBorder="1" applyFont="1">
      <alignment vertical="top"/>
    </xf>
    <xf borderId="144" fillId="2" fontId="5" numFmtId="0" xfId="0" applyAlignment="1" applyBorder="1" applyFont="1">
      <alignment readingOrder="0"/>
    </xf>
    <xf borderId="170" fillId="2" fontId="5" numFmtId="0" xfId="0" applyBorder="1" applyFont="1"/>
    <xf borderId="170" fillId="2" fontId="5" numFmtId="0" xfId="0" applyAlignment="1" applyBorder="1" applyFont="1">
      <alignment readingOrder="0"/>
    </xf>
    <xf borderId="170" fillId="2" fontId="5" numFmtId="0" xfId="0" applyAlignment="1" applyBorder="1" applyFont="1">
      <alignment readingOrder="0" shrinkToFit="0" wrapText="0"/>
    </xf>
    <xf borderId="142" fillId="2" fontId="5" numFmtId="0" xfId="0" applyBorder="1" applyFont="1"/>
    <xf borderId="0" fillId="2" fontId="5" numFmtId="0" xfId="0" applyFont="1"/>
    <xf borderId="169" fillId="2" fontId="49" numFmtId="0" xfId="0" applyAlignment="1" applyBorder="1" applyFont="1">
      <alignment horizontal="center" readingOrder="0"/>
    </xf>
    <xf borderId="168" fillId="2" fontId="92" numFmtId="0" xfId="0" applyAlignment="1" applyBorder="1" applyFont="1">
      <alignment horizontal="left" readingOrder="0"/>
    </xf>
    <xf borderId="1" fillId="2" fontId="5" numFmtId="0" xfId="0" applyAlignment="1" applyBorder="1" applyFont="1">
      <alignment readingOrder="0"/>
    </xf>
    <xf borderId="1" fillId="2" fontId="5" numFmtId="0" xfId="0" applyAlignment="1" applyBorder="1" applyFont="1">
      <alignment readingOrder="0" shrinkToFit="0" wrapText="0"/>
    </xf>
    <xf borderId="145" fillId="2" fontId="5" numFmtId="0" xfId="0" applyBorder="1" applyFont="1"/>
    <xf borderId="169" fillId="2" fontId="5" numFmtId="0" xfId="0" applyAlignment="1" applyBorder="1" applyFont="1">
      <alignment readingOrder="0"/>
    </xf>
    <xf borderId="166" fillId="2" fontId="5" numFmtId="0" xfId="0" applyBorder="1" applyFont="1"/>
    <xf borderId="166" fillId="2" fontId="5" numFmtId="0" xfId="0" applyAlignment="1" applyBorder="1" applyFont="1">
      <alignment readingOrder="0"/>
    </xf>
    <xf borderId="166" fillId="2" fontId="5" numFmtId="0" xfId="0" applyAlignment="1" applyBorder="1" applyFont="1">
      <alignment readingOrder="0" shrinkToFit="0" wrapText="0"/>
    </xf>
    <xf borderId="167" fillId="2" fontId="5" numFmtId="0" xfId="0" applyBorder="1" applyFont="1"/>
    <xf borderId="0" fillId="19" fontId="56" numFmtId="0" xfId="0" applyAlignment="1" applyFill="1" applyFont="1">
      <alignment readingOrder="0"/>
    </xf>
    <xf borderId="0" fillId="19" fontId="56" numFmtId="0" xfId="0" applyFont="1"/>
    <xf borderId="0" fillId="0" fontId="5" numFmtId="0" xfId="0" applyAlignment="1" applyFont="1">
      <alignment readingOrder="0"/>
    </xf>
    <xf borderId="0" fillId="0" fontId="5" numFmtId="0" xfId="0" applyAlignment="1" applyFont="1">
      <alignment readingOrder="0" shrinkToFit="0" wrapText="0"/>
    </xf>
    <xf quotePrefix="1" borderId="0" fillId="0" fontId="5" numFmtId="0" xfId="0" applyAlignment="1" applyFont="1">
      <alignment readingOrder="0"/>
    </xf>
    <xf borderId="0" fillId="0" fontId="5" numFmtId="0" xfId="0" applyFont="1"/>
    <xf borderId="0" fillId="4" fontId="93" numFmtId="0" xfId="0" applyAlignment="1" applyFont="1">
      <alignment readingOrder="0" shrinkToFit="0" wrapText="1"/>
    </xf>
    <xf borderId="0" fillId="4" fontId="94" numFmtId="0" xfId="0" applyAlignment="1" applyFont="1">
      <alignment readingOrder="0" shrinkToFit="0" wrapText="1"/>
    </xf>
    <xf borderId="0" fillId="4" fontId="94" numFmtId="0" xfId="0" applyAlignment="1" applyFont="1">
      <alignment shrinkToFit="0" wrapText="1"/>
    </xf>
    <xf borderId="0" fillId="0" fontId="12" numFmtId="0" xfId="0" applyAlignment="1" applyFont="1">
      <alignment vertical="bottom"/>
    </xf>
    <xf quotePrefix="1" borderId="0" fillId="0" fontId="12" numFmtId="0" xfId="0" applyAlignment="1" applyFont="1">
      <alignment vertical="bottom"/>
    </xf>
    <xf quotePrefix="1" borderId="0" fillId="0" fontId="12" numFmtId="0" xfId="0" applyAlignment="1" applyFont="1">
      <alignment readingOrder="0" vertical="bottom"/>
    </xf>
    <xf borderId="0" fillId="4" fontId="5" numFmtId="0" xfId="0" applyFont="1"/>
    <xf borderId="0" fillId="19" fontId="5" numFmtId="0" xfId="0" applyFont="1"/>
    <xf borderId="167" fillId="2" fontId="64" numFmtId="0" xfId="0" applyAlignment="1" applyBorder="1" applyFont="1">
      <alignment readingOrder="0"/>
    </xf>
    <xf borderId="168" fillId="2" fontId="64" numFmtId="0" xfId="0" applyAlignment="1" applyBorder="1" applyFont="1">
      <alignment readingOrder="0"/>
    </xf>
    <xf borderId="167" fillId="7" fontId="5" numFmtId="0" xfId="0" applyAlignment="1" applyBorder="1" applyFont="1">
      <alignment readingOrder="0"/>
    </xf>
    <xf borderId="169" fillId="7" fontId="5" numFmtId="0" xfId="0" applyAlignment="1" applyBorder="1" applyFont="1">
      <alignment readingOrder="0"/>
    </xf>
    <xf borderId="169" fillId="2" fontId="64" numFmtId="0" xfId="0" applyAlignment="1" applyBorder="1" applyFont="1">
      <alignment readingOrder="0"/>
    </xf>
    <xf borderId="236" fillId="0" fontId="5" numFmtId="0" xfId="0" applyBorder="1" applyFont="1"/>
    <xf borderId="237" fillId="0" fontId="5" numFmtId="0" xfId="0" applyBorder="1" applyFont="1"/>
    <xf borderId="238" fillId="0" fontId="5" numFmtId="0" xfId="0" applyBorder="1" applyFont="1"/>
    <xf borderId="239" fillId="0" fontId="5" numFmtId="0" xfId="0" applyBorder="1" applyFont="1"/>
    <xf borderId="240" fillId="0" fontId="5" numFmtId="0" xfId="0" applyBorder="1" applyFont="1"/>
    <xf borderId="241" fillId="0" fontId="5" numFmtId="0" xfId="0" applyBorder="1" applyFont="1"/>
    <xf borderId="0" fillId="19" fontId="30" numFmtId="0" xfId="0" applyAlignment="1" applyFont="1">
      <alignment readingOrder="0" vertical="bottom"/>
    </xf>
    <xf borderId="0" fillId="19" fontId="30" numFmtId="0" xfId="0" applyAlignment="1" applyFont="1">
      <alignment vertical="bottom"/>
    </xf>
    <xf borderId="0" fillId="19" fontId="12" numFmtId="0" xfId="0" applyAlignment="1" applyFont="1">
      <alignment vertical="bottom"/>
    </xf>
    <xf borderId="0" fillId="0" fontId="12" numFmtId="0" xfId="0" applyAlignment="1" applyFont="1">
      <alignment shrinkToFit="0" vertical="bottom" wrapText="0"/>
    </xf>
    <xf borderId="0" fillId="4" fontId="95" numFmtId="0" xfId="0" applyAlignment="1" applyFont="1">
      <alignment vertical="bottom"/>
    </xf>
    <xf borderId="0" fillId="0" fontId="12" numFmtId="167" xfId="0" applyAlignment="1" applyFont="1" applyNumberFormat="1">
      <alignment horizontal="right" vertical="bottom"/>
    </xf>
    <xf borderId="0" fillId="4" fontId="12" numFmtId="0" xfId="0" applyAlignment="1" applyFont="1">
      <alignment vertical="bottom"/>
    </xf>
    <xf borderId="0" fillId="0" fontId="12" numFmtId="167" xfId="0" applyAlignment="1" applyFont="1" applyNumberFormat="1">
      <alignment vertical="bottom"/>
    </xf>
    <xf borderId="242" fillId="0" fontId="5" numFmtId="0" xfId="0" applyBorder="1" applyFont="1"/>
  </cellXfs>
  <cellStyles count="1">
    <cellStyle xfId="0" name="Normal" builtinId="0"/>
  </cellStyles>
  <dxfs count="5">
    <dxf>
      <font/>
      <fill>
        <patternFill patternType="none"/>
      </fill>
      <border/>
    </dxf>
    <dxf>
      <font/>
      <fill>
        <patternFill patternType="solid">
          <fgColor rgb="FFFFF0B4"/>
          <bgColor rgb="FFFFF0B4"/>
        </patternFill>
      </fill>
      <border/>
    </dxf>
    <dxf>
      <font/>
      <fill>
        <patternFill patternType="solid">
          <fgColor rgb="FFDAF8F8"/>
          <bgColor rgb="FFDAF8F8"/>
        </patternFill>
      </fill>
      <border/>
    </dxf>
    <dxf>
      <font/>
      <fill>
        <patternFill patternType="solid">
          <fgColor rgb="FFF9CB9C"/>
          <bgColor rgb="FFF9CB9C"/>
        </patternFill>
      </fill>
      <border/>
    </dxf>
    <dxf>
      <font/>
      <fill>
        <patternFill patternType="solid">
          <fgColor rgb="FFB7E1CD"/>
          <bgColor rgb="FFB7E1CD"/>
        </patternFill>
      </fill>
      <border/>
    </dxf>
  </dxfs>
  <tableStyles count="1">
    <tableStyle count="2" pivot="0" name="🚀 Mobility program(s)-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M136:M152" displayName="Table_1" name="Table_1" id="1">
  <tableColumns count="1">
    <tableColumn name="Column1" id="1"/>
  </tableColumns>
  <tableStyleInfo name="🚀 Mobility program(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move.ayvens.com/" TargetMode="External"/><Relationship Id="rId2" Type="http://schemas.openxmlformats.org/officeDocument/2006/relationships/hyperlink" Target="https://aldmove.zendesk.com/hc/en-us/categories/20561192896018-Employee" TargetMode="External"/><Relationship Id="rId3" Type="http://schemas.openxmlformats.org/officeDocument/2006/relationships/hyperlink" Target="https://aldmove.zendesk.com/hc/en-us/categories/20561171188242-Admin" TargetMode="External"/><Relationship Id="rId4" Type="http://schemas.openxmlformats.org/officeDocument/2006/relationships/hyperlink" Target="https://aldmove.zendesk.com/hc/nl-be/requests/new" TargetMode="External"/><Relationship Id="rId5"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cols>
    <col customWidth="1" min="2" max="2" width="7.75"/>
    <col customWidth="1" min="13" max="13" width="14.5"/>
    <col customWidth="1" min="16" max="16" width="15.38"/>
    <col customWidth="1" min="17" max="17" width="6.75"/>
  </cols>
  <sheetData>
    <row r="1">
      <c r="A1" s="1"/>
      <c r="B1" s="1"/>
      <c r="C1" s="1"/>
      <c r="D1" s="1"/>
      <c r="E1" s="1"/>
      <c r="F1" s="1"/>
      <c r="G1" s="1"/>
      <c r="H1" s="1"/>
      <c r="I1" s="1"/>
      <c r="J1" s="1"/>
      <c r="K1" s="1"/>
      <c r="L1" s="1"/>
      <c r="M1" s="1"/>
      <c r="N1" s="1"/>
      <c r="O1" s="1"/>
      <c r="P1" s="1"/>
      <c r="Q1" s="2"/>
    </row>
    <row r="2">
      <c r="A2" s="1"/>
      <c r="B2" s="1"/>
      <c r="C2" s="1"/>
      <c r="D2" s="1"/>
      <c r="E2" s="1"/>
      <c r="F2" s="1"/>
      <c r="G2" s="1"/>
      <c r="H2" s="1"/>
      <c r="I2" s="1"/>
      <c r="J2" s="1"/>
      <c r="K2" s="1"/>
      <c r="L2" s="1"/>
      <c r="M2" s="1"/>
      <c r="N2" s="1"/>
      <c r="O2" s="1"/>
      <c r="P2" s="1"/>
      <c r="Q2" s="2"/>
    </row>
    <row r="3">
      <c r="A3" s="1"/>
      <c r="B3" s="1"/>
      <c r="C3" s="1"/>
      <c r="D3" s="1"/>
      <c r="E3" s="1"/>
      <c r="F3" s="1"/>
      <c r="G3" s="1"/>
      <c r="H3" s="1"/>
      <c r="I3" s="1"/>
      <c r="J3" s="1"/>
      <c r="K3" s="1"/>
      <c r="L3" s="1"/>
      <c r="M3" s="1"/>
      <c r="N3" s="1"/>
      <c r="O3" s="1"/>
      <c r="P3" s="1"/>
      <c r="Q3" s="2"/>
    </row>
    <row r="4">
      <c r="A4" s="1"/>
      <c r="B4" s="1"/>
      <c r="C4" s="1"/>
      <c r="D4" s="1"/>
      <c r="E4" s="1"/>
      <c r="F4" s="1"/>
      <c r="G4" s="1"/>
      <c r="H4" s="1"/>
      <c r="I4" s="1"/>
      <c r="J4" s="1"/>
      <c r="K4" s="1"/>
      <c r="L4" s="1"/>
      <c r="M4" s="1"/>
      <c r="N4" s="1"/>
      <c r="O4" s="1"/>
      <c r="P4" s="1"/>
      <c r="Q4" s="2"/>
    </row>
    <row r="5">
      <c r="A5" s="1"/>
      <c r="B5" s="1"/>
      <c r="C5" s="1"/>
      <c r="D5" s="1"/>
      <c r="E5" s="1"/>
      <c r="F5" s="1"/>
      <c r="G5" s="1"/>
      <c r="H5" s="1"/>
      <c r="I5" s="1"/>
      <c r="J5" s="1"/>
      <c r="K5" s="1"/>
      <c r="L5" s="1"/>
      <c r="M5" s="1"/>
      <c r="N5" s="1"/>
      <c r="O5" s="1"/>
      <c r="P5" s="1"/>
      <c r="Q5" s="2"/>
    </row>
    <row r="6">
      <c r="A6" s="1"/>
      <c r="B6" s="1"/>
      <c r="C6" s="1"/>
      <c r="D6" s="1"/>
      <c r="E6" s="1"/>
      <c r="F6" s="1"/>
      <c r="G6" s="1"/>
      <c r="H6" s="1"/>
      <c r="I6" s="1"/>
      <c r="J6" s="1"/>
      <c r="K6" s="1"/>
      <c r="L6" s="1"/>
      <c r="M6" s="1"/>
      <c r="N6" s="1"/>
      <c r="O6" s="1"/>
      <c r="P6" s="1"/>
      <c r="Q6" s="2"/>
    </row>
    <row r="7">
      <c r="A7" s="1"/>
      <c r="B7" s="1"/>
      <c r="C7" s="1"/>
      <c r="D7" s="1"/>
      <c r="E7" s="1"/>
      <c r="F7" s="1"/>
      <c r="G7" s="1"/>
      <c r="H7" s="1"/>
      <c r="I7" s="1"/>
      <c r="J7" s="1"/>
      <c r="K7" s="1"/>
      <c r="L7" s="1"/>
      <c r="M7" s="1"/>
      <c r="N7" s="1"/>
      <c r="O7" s="1"/>
      <c r="P7" s="1"/>
      <c r="Q7" s="2"/>
    </row>
    <row r="8">
      <c r="A8" s="3"/>
      <c r="B8" s="4"/>
      <c r="C8" s="4"/>
      <c r="D8" s="4"/>
      <c r="E8" s="4"/>
      <c r="F8" s="4"/>
      <c r="G8" s="4"/>
      <c r="H8" s="4"/>
      <c r="I8" s="4"/>
      <c r="J8" s="4"/>
      <c r="K8" s="5"/>
      <c r="L8" s="5"/>
      <c r="M8" s="5"/>
      <c r="N8" s="5"/>
      <c r="O8" s="5"/>
      <c r="P8" s="5"/>
      <c r="Q8" s="6"/>
    </row>
    <row r="9">
      <c r="A9" s="3"/>
      <c r="B9" s="4"/>
      <c r="C9" s="4"/>
      <c r="D9" s="4"/>
      <c r="E9" s="4"/>
      <c r="F9" s="4"/>
      <c r="G9" s="4"/>
      <c r="H9" s="4"/>
      <c r="I9" s="4"/>
      <c r="J9" s="4"/>
      <c r="K9" s="5"/>
      <c r="L9" s="5"/>
      <c r="M9" s="5"/>
      <c r="N9" s="5"/>
      <c r="O9" s="5"/>
      <c r="P9" s="5"/>
      <c r="Q9" s="6"/>
    </row>
    <row r="10">
      <c r="A10" s="3"/>
      <c r="B10" s="4"/>
      <c r="C10" s="4"/>
      <c r="D10" s="4"/>
      <c r="E10" s="4"/>
      <c r="F10" s="4"/>
      <c r="G10" s="4"/>
      <c r="H10" s="4"/>
      <c r="I10" s="4"/>
      <c r="J10" s="4"/>
      <c r="K10" s="5"/>
      <c r="L10" s="5"/>
      <c r="M10" s="5"/>
      <c r="N10" s="5"/>
      <c r="O10" s="5"/>
      <c r="P10" s="5"/>
      <c r="Q10" s="7"/>
    </row>
    <row r="11">
      <c r="A11" s="8"/>
      <c r="B11" s="5"/>
      <c r="C11" s="9" t="s">
        <v>0</v>
      </c>
      <c r="D11" s="10"/>
      <c r="E11" s="10"/>
      <c r="F11" s="10"/>
      <c r="G11" s="11"/>
      <c r="H11" s="5"/>
      <c r="I11" s="5"/>
      <c r="J11" s="5"/>
      <c r="K11" s="5"/>
      <c r="L11" s="5"/>
      <c r="M11" s="5"/>
      <c r="N11" s="5"/>
      <c r="O11" s="5"/>
      <c r="P11" s="5"/>
      <c r="Q11" s="7"/>
    </row>
    <row r="12">
      <c r="A12" s="8"/>
      <c r="B12" s="5"/>
      <c r="C12" s="12"/>
      <c r="G12" s="13"/>
      <c r="H12" s="5"/>
      <c r="I12" s="5"/>
      <c r="J12" s="5"/>
      <c r="K12" s="5"/>
      <c r="L12" s="5"/>
      <c r="M12" s="5"/>
      <c r="N12" s="5"/>
      <c r="O12" s="5"/>
      <c r="P12" s="5"/>
      <c r="Q12" s="7"/>
    </row>
    <row r="13" ht="15.0" customHeight="1">
      <c r="A13" s="8"/>
      <c r="B13" s="5"/>
      <c r="C13" s="14"/>
      <c r="D13" s="15"/>
      <c r="E13" s="15"/>
      <c r="F13" s="15"/>
      <c r="G13" s="16"/>
      <c r="H13" s="5"/>
      <c r="I13" s="5"/>
      <c r="J13" s="5"/>
      <c r="K13" s="5"/>
      <c r="L13" s="5"/>
      <c r="M13" s="5"/>
      <c r="N13" s="17" t="s">
        <v>1</v>
      </c>
      <c r="O13" s="18"/>
      <c r="P13" s="5"/>
      <c r="Q13" s="7"/>
    </row>
    <row r="14">
      <c r="A14" s="8"/>
      <c r="B14" s="5"/>
      <c r="C14" s="5"/>
      <c r="D14" s="5"/>
      <c r="E14" s="5"/>
      <c r="F14" s="5"/>
      <c r="G14" s="5"/>
      <c r="H14" s="5"/>
      <c r="I14" s="5"/>
      <c r="J14" s="5"/>
      <c r="K14" s="5"/>
      <c r="L14" s="5"/>
      <c r="M14" s="5"/>
      <c r="N14" s="19"/>
      <c r="O14" s="19"/>
      <c r="P14" s="5"/>
      <c r="Q14" s="7"/>
    </row>
    <row r="15">
      <c r="A15" s="8"/>
      <c r="B15" s="5"/>
      <c r="C15" s="5"/>
      <c r="D15" s="5"/>
      <c r="E15" s="5"/>
      <c r="F15" s="5"/>
      <c r="G15" s="5"/>
      <c r="H15" s="5"/>
      <c r="I15" s="5"/>
      <c r="J15" s="5"/>
      <c r="K15" s="5"/>
      <c r="L15" s="5"/>
      <c r="M15" s="5"/>
      <c r="N15" s="5"/>
      <c r="O15" s="5"/>
      <c r="P15" s="5"/>
      <c r="Q15" s="7"/>
    </row>
    <row r="16">
      <c r="A16" s="8"/>
      <c r="B16" s="5"/>
      <c r="C16" s="5"/>
      <c r="D16" s="5"/>
      <c r="E16" s="5"/>
      <c r="F16" s="5"/>
      <c r="G16" s="5"/>
      <c r="H16" s="5"/>
      <c r="I16" s="5"/>
      <c r="J16" s="5"/>
      <c r="K16" s="5"/>
      <c r="L16" s="5"/>
      <c r="M16" s="5"/>
      <c r="N16" s="5"/>
      <c r="O16" s="5"/>
      <c r="P16" s="5"/>
      <c r="Q16" s="7"/>
    </row>
    <row r="17">
      <c r="A17" s="8"/>
      <c r="B17" s="5"/>
      <c r="C17" s="20" t="s">
        <v>2</v>
      </c>
      <c r="D17" s="10"/>
      <c r="E17" s="11"/>
      <c r="F17" s="5"/>
      <c r="G17" s="5"/>
      <c r="H17" s="5"/>
      <c r="I17" s="5"/>
      <c r="J17" s="5"/>
      <c r="K17" s="5"/>
      <c r="L17" s="5"/>
      <c r="M17" s="5"/>
      <c r="N17" s="5"/>
      <c r="O17" s="5"/>
      <c r="P17" s="5"/>
      <c r="Q17" s="7"/>
    </row>
    <row r="18" ht="15.75" customHeight="1">
      <c r="A18" s="21" t="s">
        <v>3</v>
      </c>
      <c r="B18" s="22"/>
      <c r="C18" s="14"/>
      <c r="D18" s="15"/>
      <c r="E18" s="16"/>
      <c r="F18" s="22"/>
      <c r="G18" s="22"/>
      <c r="H18" s="22"/>
      <c r="I18" s="22"/>
      <c r="J18" s="22"/>
      <c r="K18" s="22"/>
      <c r="L18" s="22"/>
      <c r="M18" s="22"/>
      <c r="N18" s="22"/>
      <c r="O18" s="22"/>
      <c r="P18" s="22"/>
      <c r="Q18" s="23"/>
    </row>
    <row r="19" outlineLevel="1">
      <c r="A19" s="24"/>
      <c r="B19" s="22"/>
      <c r="C19" s="22"/>
      <c r="D19" s="22"/>
      <c r="E19" s="22"/>
      <c r="F19" s="22"/>
      <c r="G19" s="22"/>
      <c r="H19" s="22"/>
      <c r="I19" s="22"/>
      <c r="J19" s="22"/>
      <c r="K19" s="22"/>
      <c r="L19" s="22"/>
      <c r="M19" s="22"/>
      <c r="N19" s="22"/>
      <c r="O19" s="22"/>
      <c r="P19" s="22"/>
      <c r="Q19" s="23"/>
    </row>
    <row r="20" outlineLevel="1">
      <c r="A20" s="24"/>
      <c r="B20" s="22"/>
      <c r="C20" s="22"/>
      <c r="D20" s="22"/>
      <c r="E20" s="22"/>
      <c r="F20" s="22"/>
      <c r="G20" s="22"/>
      <c r="H20" s="22"/>
      <c r="I20" s="22"/>
      <c r="J20" s="22"/>
      <c r="K20" s="22"/>
      <c r="L20" s="22"/>
      <c r="M20" s="22"/>
      <c r="N20" s="22"/>
      <c r="O20" s="22"/>
      <c r="P20" s="22"/>
      <c r="Q20" s="23"/>
    </row>
    <row r="21" outlineLevel="1">
      <c r="A21" s="24"/>
      <c r="B21" s="22"/>
      <c r="C21" s="22"/>
      <c r="D21" s="22"/>
      <c r="E21" s="22"/>
      <c r="F21" s="22"/>
      <c r="G21" s="22"/>
      <c r="H21" s="22"/>
      <c r="I21" s="22"/>
      <c r="J21" s="22"/>
      <c r="K21" s="22"/>
      <c r="L21" s="22"/>
      <c r="M21" s="22"/>
      <c r="N21" s="22"/>
      <c r="O21" s="22"/>
      <c r="P21" s="22"/>
      <c r="Q21" s="23"/>
    </row>
    <row r="22" outlineLevel="1">
      <c r="A22" s="24"/>
      <c r="B22" s="22"/>
      <c r="C22" s="25" t="s">
        <v>4</v>
      </c>
      <c r="D22" s="22"/>
      <c r="E22" s="22"/>
      <c r="F22" s="19"/>
      <c r="G22" s="22"/>
      <c r="H22" s="22"/>
      <c r="I22" s="22"/>
      <c r="J22" s="22"/>
      <c r="K22" s="22"/>
      <c r="L22" s="22"/>
      <c r="M22" s="22"/>
      <c r="N22" s="22"/>
      <c r="O22" s="22"/>
      <c r="P22" s="22"/>
      <c r="Q22" s="23"/>
    </row>
    <row r="23" outlineLevel="1">
      <c r="A23" s="24"/>
      <c r="B23" s="22"/>
      <c r="C23" s="26" t="s">
        <v>5</v>
      </c>
      <c r="D23" s="22"/>
      <c r="E23" s="22"/>
      <c r="F23" s="27"/>
      <c r="G23" s="22"/>
      <c r="H23" s="22"/>
      <c r="I23" s="22"/>
      <c r="J23" s="22"/>
      <c r="K23" s="22"/>
      <c r="L23" s="22"/>
      <c r="M23" s="22"/>
      <c r="N23" s="22"/>
      <c r="O23" s="22"/>
      <c r="P23" s="22"/>
      <c r="Q23" s="23"/>
    </row>
    <row r="24" outlineLevel="1">
      <c r="A24" s="24"/>
      <c r="B24" s="22"/>
      <c r="C24" s="22"/>
      <c r="D24" s="22"/>
      <c r="E24" s="22"/>
      <c r="F24" s="27"/>
      <c r="G24" s="22"/>
      <c r="H24" s="22"/>
      <c r="I24" s="22"/>
      <c r="J24" s="22"/>
      <c r="K24" s="22"/>
      <c r="L24" s="22"/>
      <c r="M24" s="22"/>
      <c r="N24" s="22"/>
      <c r="O24" s="22"/>
      <c r="P24" s="22"/>
      <c r="Q24" s="23"/>
    </row>
    <row r="25" outlineLevel="1">
      <c r="A25" s="24"/>
      <c r="B25" s="22"/>
      <c r="C25" s="25" t="s">
        <v>6</v>
      </c>
      <c r="D25" s="22"/>
      <c r="E25" s="22"/>
      <c r="F25" s="27"/>
      <c r="G25" s="22"/>
      <c r="H25" s="22"/>
      <c r="I25" s="22"/>
      <c r="J25" s="22"/>
      <c r="K25" s="22"/>
      <c r="L25" s="22"/>
      <c r="M25" s="22"/>
      <c r="N25" s="22"/>
      <c r="O25" s="22"/>
      <c r="P25" s="22"/>
      <c r="Q25" s="23"/>
    </row>
    <row r="26" outlineLevel="1">
      <c r="A26" s="24"/>
      <c r="B26" s="22"/>
      <c r="C26" s="26" t="s">
        <v>7</v>
      </c>
      <c r="D26" s="22"/>
      <c r="E26" s="22"/>
      <c r="F26" s="27"/>
      <c r="G26" s="22"/>
      <c r="H26" s="22"/>
      <c r="I26" s="22"/>
      <c r="J26" s="22"/>
      <c r="K26" s="22"/>
      <c r="L26" s="22"/>
      <c r="M26" s="22"/>
      <c r="N26" s="22"/>
      <c r="O26" s="22"/>
      <c r="P26" s="22"/>
      <c r="Q26" s="23"/>
    </row>
    <row r="27" outlineLevel="1">
      <c r="A27" s="24"/>
      <c r="B27" s="22"/>
      <c r="C27" s="26" t="s">
        <v>8</v>
      </c>
      <c r="D27" s="22"/>
      <c r="E27" s="22"/>
      <c r="F27" s="27"/>
      <c r="G27" s="22"/>
      <c r="H27" s="22"/>
      <c r="I27" s="22"/>
      <c r="J27" s="22"/>
      <c r="K27" s="22"/>
      <c r="L27" s="22"/>
      <c r="M27" s="22"/>
      <c r="N27" s="22"/>
      <c r="O27" s="22"/>
      <c r="P27" s="22"/>
      <c r="Q27" s="23"/>
    </row>
    <row r="28" outlineLevel="1">
      <c r="A28" s="24"/>
      <c r="B28" s="22"/>
      <c r="C28" s="26" t="s">
        <v>9</v>
      </c>
      <c r="D28" s="22"/>
      <c r="E28" s="22"/>
      <c r="F28" s="27"/>
      <c r="G28" s="22"/>
      <c r="H28" s="22"/>
      <c r="I28" s="22"/>
      <c r="J28" s="22"/>
      <c r="K28" s="22"/>
      <c r="L28" s="22"/>
      <c r="M28" s="22"/>
      <c r="N28" s="22"/>
      <c r="O28" s="22"/>
      <c r="P28" s="22"/>
      <c r="Q28" s="23"/>
    </row>
    <row r="29" outlineLevel="1">
      <c r="A29" s="24"/>
      <c r="B29" s="22"/>
      <c r="C29" s="22"/>
      <c r="D29" s="22"/>
      <c r="E29" s="22"/>
      <c r="F29" s="27"/>
      <c r="G29" s="22"/>
      <c r="H29" s="22"/>
      <c r="I29" s="22"/>
      <c r="J29" s="22"/>
      <c r="K29" s="22"/>
      <c r="L29" s="22"/>
      <c r="M29" s="22"/>
      <c r="N29" s="22"/>
      <c r="O29" s="22"/>
      <c r="P29" s="22"/>
      <c r="Q29" s="23"/>
    </row>
    <row r="30" outlineLevel="1">
      <c r="A30" s="24"/>
      <c r="B30" s="22"/>
      <c r="C30" s="25" t="s">
        <v>10</v>
      </c>
      <c r="D30" s="22"/>
      <c r="E30" s="22"/>
      <c r="F30" s="27"/>
      <c r="G30" s="22"/>
      <c r="H30" s="22"/>
      <c r="I30" s="22"/>
      <c r="J30" s="22"/>
      <c r="K30" s="22"/>
      <c r="L30" s="22"/>
      <c r="M30" s="22"/>
      <c r="N30" s="22"/>
      <c r="O30" s="22"/>
      <c r="P30" s="22"/>
      <c r="Q30" s="23"/>
    </row>
    <row r="31" outlineLevel="1">
      <c r="A31" s="24"/>
      <c r="B31" s="22"/>
      <c r="C31" s="26" t="s">
        <v>11</v>
      </c>
      <c r="D31" s="22"/>
      <c r="E31" s="22"/>
      <c r="F31" s="27"/>
      <c r="G31" s="22"/>
      <c r="H31" s="22"/>
      <c r="I31" s="22"/>
      <c r="J31" s="22"/>
      <c r="K31" s="22"/>
      <c r="L31" s="22"/>
      <c r="M31" s="22"/>
      <c r="N31" s="22"/>
      <c r="O31" s="22"/>
      <c r="P31" s="22"/>
      <c r="Q31" s="23"/>
    </row>
    <row r="32" outlineLevel="1">
      <c r="A32" s="24"/>
      <c r="B32" s="22"/>
      <c r="C32" s="26" t="s">
        <v>12</v>
      </c>
      <c r="D32" s="22"/>
      <c r="E32" s="22"/>
      <c r="F32" s="27"/>
      <c r="G32" s="22"/>
      <c r="H32" s="22"/>
      <c r="I32" s="22"/>
      <c r="J32" s="22"/>
      <c r="K32" s="22"/>
      <c r="L32" s="22"/>
      <c r="M32" s="22"/>
      <c r="N32" s="22"/>
      <c r="O32" s="22"/>
      <c r="P32" s="22"/>
      <c r="Q32" s="23"/>
    </row>
    <row r="33" outlineLevel="1">
      <c r="A33" s="24"/>
      <c r="B33" s="22"/>
      <c r="C33" s="26" t="s">
        <v>13</v>
      </c>
      <c r="D33" s="22"/>
      <c r="E33" s="22"/>
      <c r="F33" s="27"/>
      <c r="G33" s="22"/>
      <c r="H33" s="22"/>
      <c r="I33" s="22"/>
      <c r="J33" s="22"/>
      <c r="K33" s="22"/>
      <c r="L33" s="22"/>
      <c r="M33" s="22"/>
      <c r="N33" s="22"/>
      <c r="O33" s="22"/>
      <c r="P33" s="22"/>
      <c r="Q33" s="23"/>
    </row>
    <row r="34" outlineLevel="1">
      <c r="A34" s="24"/>
      <c r="B34" s="22"/>
      <c r="C34" s="26" t="s">
        <v>14</v>
      </c>
      <c r="D34" s="22"/>
      <c r="E34" s="22"/>
      <c r="F34" s="27"/>
      <c r="G34" s="22"/>
      <c r="H34" s="22"/>
      <c r="I34" s="22"/>
      <c r="J34" s="22"/>
      <c r="K34" s="22"/>
      <c r="L34" s="22"/>
      <c r="M34" s="22"/>
      <c r="N34" s="22"/>
      <c r="O34" s="22"/>
      <c r="P34" s="22"/>
      <c r="Q34" s="23"/>
    </row>
    <row r="35" outlineLevel="1">
      <c r="A35" s="24"/>
      <c r="B35" s="22"/>
      <c r="C35" s="28"/>
      <c r="D35" s="22"/>
      <c r="E35" s="22"/>
      <c r="F35" s="27"/>
      <c r="G35" s="22"/>
      <c r="H35" s="22"/>
      <c r="I35" s="22"/>
      <c r="J35" s="22"/>
      <c r="K35" s="22"/>
      <c r="L35" s="22"/>
      <c r="M35" s="22"/>
      <c r="N35" s="22"/>
      <c r="O35" s="22"/>
      <c r="P35" s="22"/>
      <c r="Q35" s="23"/>
    </row>
    <row r="36" outlineLevel="1">
      <c r="A36" s="24"/>
      <c r="B36" s="22"/>
      <c r="C36" s="26" t="s">
        <v>15</v>
      </c>
      <c r="D36" s="22"/>
      <c r="E36" s="22"/>
      <c r="F36" s="27"/>
      <c r="G36" s="22"/>
      <c r="H36" s="22"/>
      <c r="I36" s="22"/>
      <c r="J36" s="22"/>
      <c r="K36" s="22"/>
      <c r="L36" s="22"/>
      <c r="M36" s="22"/>
      <c r="N36" s="22"/>
      <c r="O36" s="22"/>
      <c r="P36" s="22"/>
      <c r="Q36" s="23"/>
    </row>
    <row r="37" outlineLevel="1">
      <c r="A37" s="24"/>
      <c r="B37" s="22"/>
      <c r="C37" s="26" t="s">
        <v>16</v>
      </c>
      <c r="D37" s="22"/>
      <c r="E37" s="22"/>
      <c r="F37" s="27"/>
      <c r="G37" s="22"/>
      <c r="H37" s="22"/>
      <c r="I37" s="22"/>
      <c r="J37" s="22"/>
      <c r="K37" s="22"/>
      <c r="L37" s="22"/>
      <c r="M37" s="22"/>
      <c r="N37" s="22"/>
      <c r="O37" s="22"/>
      <c r="P37" s="22"/>
      <c r="Q37" s="23"/>
    </row>
    <row r="38" outlineLevel="1">
      <c r="A38" s="24"/>
      <c r="B38" s="22"/>
      <c r="C38" s="26" t="s">
        <v>17</v>
      </c>
      <c r="D38" s="22"/>
      <c r="E38" s="22"/>
      <c r="F38" s="27"/>
      <c r="G38" s="22"/>
      <c r="H38" s="22"/>
      <c r="I38" s="22"/>
      <c r="J38" s="22"/>
      <c r="K38" s="22"/>
      <c r="L38" s="22"/>
      <c r="M38" s="22"/>
      <c r="N38" s="22"/>
      <c r="O38" s="22"/>
      <c r="P38" s="22"/>
      <c r="Q38" s="23"/>
    </row>
    <row r="39" outlineLevel="1">
      <c r="A39" s="24"/>
      <c r="B39" s="22"/>
      <c r="C39" s="26" t="s">
        <v>18</v>
      </c>
      <c r="D39" s="22"/>
      <c r="E39" s="22"/>
      <c r="F39" s="27"/>
      <c r="G39" s="22"/>
      <c r="H39" s="22"/>
      <c r="I39" s="22"/>
      <c r="J39" s="22"/>
      <c r="K39" s="22"/>
      <c r="L39" s="22"/>
      <c r="M39" s="22"/>
      <c r="N39" s="22"/>
      <c r="O39" s="22"/>
      <c r="P39" s="22"/>
      <c r="Q39" s="23"/>
    </row>
    <row r="40" outlineLevel="1">
      <c r="A40" s="24"/>
      <c r="B40" s="22"/>
      <c r="C40" s="29"/>
      <c r="D40" s="22"/>
      <c r="E40" s="22"/>
      <c r="F40" s="27"/>
      <c r="G40" s="22"/>
      <c r="H40" s="22"/>
      <c r="I40" s="22"/>
      <c r="J40" s="22"/>
      <c r="K40" s="22"/>
      <c r="L40" s="22"/>
      <c r="M40" s="22"/>
      <c r="N40" s="22"/>
      <c r="O40" s="22"/>
      <c r="P40" s="22"/>
      <c r="Q40" s="23"/>
    </row>
    <row r="41" outlineLevel="1">
      <c r="A41" s="24"/>
      <c r="B41" s="22"/>
      <c r="C41" s="30" t="s">
        <v>19</v>
      </c>
      <c r="D41" s="31"/>
      <c r="E41" s="31"/>
      <c r="F41" s="27"/>
      <c r="G41" s="22"/>
      <c r="H41" s="22"/>
      <c r="I41" s="22"/>
      <c r="J41" s="22"/>
      <c r="K41" s="22"/>
      <c r="L41" s="22"/>
      <c r="M41" s="22"/>
      <c r="N41" s="22"/>
      <c r="O41" s="22"/>
      <c r="P41" s="22"/>
      <c r="Q41" s="23"/>
    </row>
    <row r="42" outlineLevel="1">
      <c r="A42" s="24"/>
      <c r="B42" s="22"/>
      <c r="C42" s="22"/>
      <c r="D42" s="22"/>
      <c r="E42" s="22"/>
      <c r="F42" s="22"/>
      <c r="G42" s="22"/>
      <c r="H42" s="22"/>
      <c r="I42" s="22"/>
      <c r="J42" s="22"/>
      <c r="K42" s="22"/>
      <c r="L42" s="22"/>
      <c r="M42" s="22"/>
      <c r="N42" s="22"/>
      <c r="O42" s="22"/>
      <c r="P42" s="22"/>
      <c r="Q42" s="23"/>
    </row>
    <row r="43" outlineLevel="1">
      <c r="A43" s="24"/>
      <c r="B43" s="22"/>
      <c r="C43" s="22"/>
      <c r="D43" s="22"/>
      <c r="E43" s="22"/>
      <c r="F43" s="22"/>
      <c r="G43" s="22"/>
      <c r="H43" s="22"/>
      <c r="I43" s="22"/>
      <c r="J43" s="22"/>
      <c r="K43" s="22"/>
      <c r="L43" s="22"/>
      <c r="M43" s="22"/>
      <c r="N43" s="22"/>
      <c r="O43" s="22"/>
      <c r="P43" s="22"/>
      <c r="Q43" s="23"/>
    </row>
    <row r="44" outlineLevel="1">
      <c r="A44" s="24"/>
      <c r="B44" s="22"/>
      <c r="C44" s="22"/>
      <c r="D44" s="22"/>
      <c r="E44" s="22"/>
      <c r="F44" s="22"/>
      <c r="G44" s="22"/>
      <c r="H44" s="22"/>
      <c r="I44" s="22"/>
      <c r="J44" s="22"/>
      <c r="K44" s="22"/>
      <c r="L44" s="22"/>
      <c r="M44" s="22"/>
      <c r="N44" s="22"/>
      <c r="O44" s="22"/>
      <c r="P44" s="22"/>
      <c r="Q44" s="23"/>
    </row>
    <row r="45" ht="15.75" customHeight="1">
      <c r="A45" s="21"/>
      <c r="B45" s="32" t="s">
        <v>20</v>
      </c>
      <c r="C45" s="20" t="s">
        <v>21</v>
      </c>
      <c r="D45" s="10"/>
      <c r="E45" s="11"/>
      <c r="F45" s="22"/>
      <c r="G45" s="22"/>
      <c r="H45" s="22"/>
      <c r="I45" s="22"/>
      <c r="J45" s="22"/>
      <c r="K45" s="22"/>
      <c r="L45" s="22"/>
      <c r="M45" s="22"/>
      <c r="N45" s="22"/>
      <c r="O45" s="22"/>
      <c r="P45" s="22"/>
      <c r="Q45" s="23"/>
    </row>
    <row r="46" ht="15.75" customHeight="1">
      <c r="A46" s="21" t="s">
        <v>22</v>
      </c>
      <c r="C46" s="14"/>
      <c r="D46" s="15"/>
      <c r="E46" s="16"/>
      <c r="F46" s="22"/>
      <c r="G46" s="22"/>
      <c r="H46" s="22"/>
      <c r="I46" s="22"/>
      <c r="J46" s="22"/>
      <c r="K46" s="22"/>
      <c r="L46" s="22"/>
      <c r="M46" s="22"/>
      <c r="N46" s="22"/>
      <c r="O46" s="22"/>
      <c r="P46" s="22"/>
      <c r="Q46" s="23"/>
    </row>
    <row r="47" outlineLevel="1">
      <c r="A47" s="33"/>
      <c r="B47" s="22"/>
      <c r="C47" s="22"/>
      <c r="D47" s="22"/>
      <c r="E47" s="22"/>
      <c r="F47" s="22"/>
      <c r="G47" s="22"/>
      <c r="H47" s="22"/>
      <c r="I47" s="22"/>
      <c r="J47" s="22"/>
      <c r="K47" s="22"/>
      <c r="L47" s="22"/>
      <c r="M47" s="22"/>
      <c r="N47" s="22"/>
      <c r="O47" s="22"/>
      <c r="P47" s="22"/>
      <c r="Q47" s="23"/>
    </row>
    <row r="48" outlineLevel="1">
      <c r="A48" s="24"/>
      <c r="B48" s="22"/>
      <c r="C48" s="22"/>
      <c r="D48" s="22"/>
      <c r="E48" s="22"/>
      <c r="F48" s="22"/>
      <c r="G48" s="22"/>
      <c r="H48" s="22"/>
      <c r="I48" s="22"/>
      <c r="J48" s="22"/>
      <c r="K48" s="22"/>
      <c r="L48" s="22"/>
      <c r="M48" s="22"/>
      <c r="N48" s="22"/>
      <c r="O48" s="22"/>
      <c r="P48" s="22"/>
      <c r="Q48" s="23"/>
    </row>
    <row r="49" outlineLevel="1">
      <c r="A49" s="24"/>
      <c r="B49" s="22"/>
      <c r="C49" s="22"/>
      <c r="D49" s="22"/>
      <c r="E49" s="22"/>
      <c r="F49" s="22"/>
      <c r="G49" s="22"/>
      <c r="H49" s="22"/>
      <c r="I49" s="22"/>
      <c r="J49" s="22"/>
      <c r="K49" s="22"/>
      <c r="L49" s="22"/>
      <c r="M49" s="22"/>
      <c r="N49" s="22"/>
      <c r="O49" s="22"/>
      <c r="P49" s="22"/>
      <c r="Q49" s="23"/>
    </row>
    <row r="50" outlineLevel="1">
      <c r="A50" s="24"/>
      <c r="B50" s="22"/>
      <c r="C50" s="30" t="s">
        <v>23</v>
      </c>
      <c r="D50" s="22"/>
      <c r="E50" s="22"/>
      <c r="F50" s="22"/>
      <c r="G50" s="22"/>
      <c r="H50" s="22"/>
      <c r="I50" s="22"/>
      <c r="J50" s="22"/>
      <c r="K50" s="22"/>
      <c r="L50" s="22"/>
      <c r="M50" s="22"/>
      <c r="N50" s="22"/>
      <c r="O50" s="22"/>
      <c r="P50" s="22"/>
      <c r="Q50" s="23"/>
    </row>
    <row r="51" outlineLevel="1">
      <c r="A51" s="24"/>
      <c r="B51" s="22"/>
      <c r="C51" s="30"/>
      <c r="D51" s="22"/>
      <c r="E51" s="22"/>
      <c r="F51" s="22"/>
      <c r="G51" s="22"/>
      <c r="H51" s="22"/>
      <c r="I51" s="22"/>
      <c r="J51" s="22"/>
      <c r="K51" s="22"/>
      <c r="L51" s="22"/>
      <c r="M51" s="22"/>
      <c r="N51" s="22"/>
      <c r="O51" s="22"/>
      <c r="P51" s="22"/>
      <c r="Q51" s="23"/>
    </row>
    <row r="52" outlineLevel="1">
      <c r="A52" s="24"/>
      <c r="B52" s="22"/>
      <c r="C52" s="34" t="s">
        <v>24</v>
      </c>
      <c r="D52" s="35"/>
      <c r="E52" s="36"/>
      <c r="F52" s="22"/>
      <c r="G52" s="22"/>
      <c r="H52" s="22"/>
      <c r="I52" s="22"/>
      <c r="J52" s="22"/>
      <c r="K52" s="22"/>
      <c r="L52" s="22"/>
      <c r="M52" s="22"/>
      <c r="N52" s="22"/>
      <c r="O52" s="22"/>
      <c r="P52" s="22"/>
      <c r="Q52" s="23"/>
    </row>
    <row r="53" outlineLevel="1">
      <c r="A53" s="24"/>
      <c r="B53" s="22"/>
      <c r="C53" s="37" t="s">
        <v>25</v>
      </c>
      <c r="D53" s="35"/>
      <c r="E53" s="36"/>
      <c r="F53" s="22"/>
      <c r="G53" s="22"/>
      <c r="H53" s="22"/>
      <c r="I53" s="22"/>
      <c r="J53" s="22"/>
      <c r="K53" s="22"/>
      <c r="L53" s="22"/>
      <c r="M53" s="22"/>
      <c r="N53" s="22"/>
      <c r="O53" s="22"/>
      <c r="P53" s="22"/>
      <c r="Q53" s="23"/>
    </row>
    <row r="54" outlineLevel="1">
      <c r="A54" s="24"/>
      <c r="B54" s="22"/>
      <c r="C54" s="37" t="s">
        <v>26</v>
      </c>
      <c r="D54" s="35"/>
      <c r="E54" s="36"/>
      <c r="F54" s="22"/>
      <c r="G54" s="22"/>
      <c r="H54" s="22"/>
      <c r="I54" s="22"/>
      <c r="J54" s="22"/>
      <c r="K54" s="22"/>
      <c r="L54" s="22"/>
      <c r="M54" s="22"/>
      <c r="N54" s="22"/>
      <c r="O54" s="22"/>
      <c r="P54" s="22"/>
      <c r="Q54" s="23"/>
    </row>
    <row r="55" outlineLevel="1">
      <c r="A55" s="24"/>
      <c r="B55" s="22"/>
      <c r="C55" s="37" t="s">
        <v>27</v>
      </c>
      <c r="D55" s="35"/>
      <c r="E55" s="36"/>
      <c r="F55" s="22"/>
      <c r="G55" s="22"/>
      <c r="H55" s="22"/>
      <c r="I55" s="22"/>
      <c r="J55" s="22"/>
      <c r="K55" s="22"/>
      <c r="L55" s="22"/>
      <c r="M55" s="22"/>
      <c r="N55" s="22"/>
      <c r="O55" s="22"/>
      <c r="P55" s="22"/>
      <c r="Q55" s="23"/>
    </row>
    <row r="56" outlineLevel="1">
      <c r="A56" s="24"/>
      <c r="B56" s="22"/>
      <c r="C56" s="37" t="s">
        <v>28</v>
      </c>
      <c r="D56" s="35"/>
      <c r="E56" s="36"/>
      <c r="F56" s="22"/>
      <c r="G56" s="38" t="s">
        <v>29</v>
      </c>
      <c r="H56" s="10"/>
      <c r="I56" s="11"/>
      <c r="J56" s="22"/>
      <c r="K56" s="22"/>
      <c r="L56" s="22"/>
      <c r="M56" s="22"/>
      <c r="N56" s="22"/>
      <c r="O56" s="22"/>
      <c r="P56" s="22"/>
      <c r="Q56" s="23"/>
    </row>
    <row r="57" outlineLevel="1">
      <c r="A57" s="24"/>
      <c r="B57" s="22"/>
      <c r="C57" s="37" t="s">
        <v>30</v>
      </c>
      <c r="D57" s="35"/>
      <c r="E57" s="36"/>
      <c r="F57" s="23"/>
      <c r="G57" s="39"/>
      <c r="H57" s="35"/>
      <c r="I57" s="36"/>
      <c r="J57" s="24"/>
      <c r="K57" s="22"/>
      <c r="L57" s="22"/>
      <c r="M57" s="22"/>
      <c r="N57" s="22"/>
      <c r="O57" s="22"/>
      <c r="P57" s="22"/>
      <c r="Q57" s="23"/>
    </row>
    <row r="58" outlineLevel="1">
      <c r="A58" s="24"/>
      <c r="B58" s="22"/>
      <c r="C58" s="37" t="s">
        <v>31</v>
      </c>
      <c r="D58" s="35"/>
      <c r="E58" s="36"/>
      <c r="F58" s="40" t="s">
        <v>32</v>
      </c>
      <c r="G58" s="39"/>
      <c r="H58" s="35"/>
      <c r="I58" s="36"/>
      <c r="J58" s="24"/>
      <c r="K58" s="22"/>
      <c r="L58" s="22"/>
      <c r="M58" s="22"/>
      <c r="N58" s="22"/>
      <c r="O58" s="22"/>
      <c r="P58" s="22"/>
      <c r="Q58" s="23"/>
    </row>
    <row r="59" outlineLevel="1">
      <c r="A59" s="24"/>
      <c r="B59" s="22"/>
      <c r="C59" s="37" t="s">
        <v>33</v>
      </c>
      <c r="D59" s="35"/>
      <c r="E59" s="36"/>
      <c r="F59" s="23"/>
      <c r="G59" s="39"/>
      <c r="H59" s="35"/>
      <c r="I59" s="36"/>
      <c r="J59" s="24"/>
      <c r="K59" s="22"/>
      <c r="L59" s="22"/>
      <c r="M59" s="22"/>
      <c r="N59" s="22"/>
      <c r="O59" s="22"/>
      <c r="P59" s="22"/>
      <c r="Q59" s="23"/>
    </row>
    <row r="60" outlineLevel="1">
      <c r="A60" s="24"/>
      <c r="B60" s="22"/>
      <c r="C60" s="37" t="s">
        <v>34</v>
      </c>
      <c r="D60" s="35"/>
      <c r="E60" s="36"/>
      <c r="F60" s="22"/>
      <c r="G60" s="22"/>
      <c r="H60" s="22"/>
      <c r="I60" s="22"/>
      <c r="J60" s="22"/>
      <c r="K60" s="22"/>
      <c r="L60" s="22"/>
      <c r="M60" s="22"/>
      <c r="N60" s="22"/>
      <c r="O60" s="22"/>
      <c r="P60" s="22"/>
      <c r="Q60" s="23"/>
    </row>
    <row r="61" outlineLevel="1">
      <c r="A61" s="24"/>
      <c r="B61" s="22"/>
      <c r="C61" s="37" t="s">
        <v>35</v>
      </c>
      <c r="D61" s="35"/>
      <c r="E61" s="36"/>
      <c r="F61" s="22"/>
      <c r="G61" s="22"/>
      <c r="H61" s="22"/>
      <c r="I61" s="22"/>
      <c r="J61" s="22"/>
      <c r="K61" s="22"/>
      <c r="L61" s="22"/>
      <c r="M61" s="22"/>
      <c r="N61" s="22"/>
      <c r="O61" s="22"/>
      <c r="P61" s="22"/>
      <c r="Q61" s="23"/>
    </row>
    <row r="62" outlineLevel="1">
      <c r="A62" s="24"/>
      <c r="B62" s="22"/>
      <c r="C62" s="37" t="s">
        <v>36</v>
      </c>
      <c r="D62" s="35"/>
      <c r="E62" s="36"/>
      <c r="F62" s="22"/>
      <c r="G62" s="22"/>
      <c r="H62" s="22"/>
      <c r="I62" s="22"/>
      <c r="J62" s="22"/>
      <c r="K62" s="22"/>
      <c r="L62" s="22"/>
      <c r="M62" s="22"/>
      <c r="N62" s="22"/>
      <c r="O62" s="22"/>
      <c r="P62" s="22"/>
      <c r="Q62" s="23"/>
    </row>
    <row r="63" outlineLevel="1">
      <c r="A63" s="24"/>
      <c r="B63" s="22"/>
      <c r="C63" s="41"/>
      <c r="D63" s="22"/>
      <c r="E63" s="22"/>
      <c r="F63" s="22"/>
      <c r="G63" s="22"/>
      <c r="H63" s="22"/>
      <c r="I63" s="22"/>
      <c r="J63" s="22"/>
      <c r="K63" s="22"/>
      <c r="L63" s="22"/>
      <c r="M63" s="22"/>
      <c r="N63" s="22"/>
      <c r="O63" s="22"/>
      <c r="P63" s="22"/>
      <c r="Q63" s="23"/>
    </row>
    <row r="64" outlineLevel="1">
      <c r="A64" s="24"/>
      <c r="B64" s="22"/>
      <c r="C64" s="30" t="s">
        <v>37</v>
      </c>
      <c r="D64" s="22"/>
      <c r="E64" s="22"/>
      <c r="F64" s="22"/>
      <c r="G64" s="22"/>
      <c r="H64" s="22"/>
      <c r="I64" s="22"/>
      <c r="J64" s="22"/>
      <c r="K64" s="22"/>
      <c r="L64" s="22"/>
      <c r="M64" s="22"/>
      <c r="N64" s="22"/>
      <c r="O64" s="22"/>
      <c r="P64" s="22"/>
      <c r="Q64" s="23"/>
    </row>
    <row r="65" outlineLevel="1">
      <c r="A65" s="24"/>
      <c r="B65" s="22"/>
      <c r="C65" s="42" t="s">
        <v>38</v>
      </c>
      <c r="D65" s="22"/>
      <c r="E65" s="22"/>
      <c r="F65" s="22"/>
      <c r="G65" s="22"/>
      <c r="H65" s="22"/>
      <c r="I65" s="22"/>
      <c r="J65" s="43"/>
      <c r="K65" s="43"/>
      <c r="L65" s="43"/>
      <c r="M65" s="43"/>
      <c r="N65" s="43"/>
      <c r="O65" s="22"/>
      <c r="P65" s="22"/>
      <c r="Q65" s="23"/>
    </row>
    <row r="66" outlineLevel="1">
      <c r="A66" s="24"/>
      <c r="B66" s="22"/>
      <c r="C66" s="44"/>
      <c r="D66" s="10"/>
      <c r="E66" s="10"/>
      <c r="F66" s="10"/>
      <c r="G66" s="10"/>
      <c r="H66" s="10"/>
      <c r="I66" s="10"/>
      <c r="J66" s="45"/>
      <c r="K66" s="43"/>
      <c r="L66" s="43"/>
      <c r="M66" s="43"/>
      <c r="N66" s="46"/>
      <c r="O66" s="23"/>
      <c r="P66" s="22"/>
      <c r="Q66" s="23"/>
    </row>
    <row r="67" outlineLevel="1">
      <c r="A67" s="24"/>
      <c r="B67" s="22"/>
      <c r="C67" s="14"/>
      <c r="D67" s="15"/>
      <c r="E67" s="15"/>
      <c r="F67" s="15"/>
      <c r="G67" s="15"/>
      <c r="H67" s="15"/>
      <c r="I67" s="15"/>
      <c r="J67" s="45"/>
      <c r="K67" s="43"/>
      <c r="L67" s="43"/>
      <c r="M67" s="43"/>
      <c r="N67" s="46"/>
      <c r="O67" s="23"/>
      <c r="P67" s="22"/>
      <c r="Q67" s="23"/>
    </row>
    <row r="68" outlineLevel="1">
      <c r="A68" s="24"/>
      <c r="B68" s="22"/>
      <c r="C68" s="22"/>
      <c r="D68" s="22"/>
      <c r="E68" s="22"/>
      <c r="F68" s="22"/>
      <c r="G68" s="22"/>
      <c r="H68" s="22"/>
      <c r="I68" s="22"/>
      <c r="J68" s="43"/>
      <c r="K68" s="43"/>
      <c r="L68" s="43"/>
      <c r="M68" s="43"/>
      <c r="N68" s="43"/>
      <c r="O68" s="22"/>
      <c r="P68" s="22"/>
      <c r="Q68" s="23"/>
    </row>
    <row r="69" outlineLevel="1">
      <c r="A69" s="24"/>
      <c r="B69" s="22"/>
      <c r="C69" s="22"/>
      <c r="D69" s="22"/>
      <c r="E69" s="22"/>
      <c r="F69" s="22"/>
      <c r="G69" s="22"/>
      <c r="H69" s="22"/>
      <c r="I69" s="22"/>
      <c r="J69" s="22"/>
      <c r="K69" s="22"/>
      <c r="L69" s="22"/>
      <c r="M69" s="22"/>
      <c r="N69" s="22"/>
      <c r="O69" s="22"/>
      <c r="P69" s="22"/>
      <c r="Q69" s="23"/>
    </row>
    <row r="70" outlineLevel="1">
      <c r="A70" s="24"/>
      <c r="B70" s="22"/>
      <c r="C70" s="22"/>
      <c r="D70" s="22"/>
      <c r="E70" s="22"/>
      <c r="F70" s="22"/>
      <c r="G70" s="22"/>
      <c r="H70" s="22"/>
      <c r="I70" s="22"/>
      <c r="J70" s="22"/>
      <c r="K70" s="22"/>
      <c r="L70" s="22"/>
      <c r="M70" s="22"/>
      <c r="N70" s="22"/>
      <c r="O70" s="22"/>
      <c r="P70" s="22"/>
      <c r="Q70" s="23"/>
    </row>
    <row r="71" ht="16.5" customHeight="1">
      <c r="A71" s="21"/>
      <c r="B71" s="47" t="s">
        <v>39</v>
      </c>
      <c r="C71" s="20" t="s">
        <v>40</v>
      </c>
      <c r="D71" s="10"/>
      <c r="E71" s="10"/>
      <c r="F71" s="10"/>
      <c r="G71" s="10"/>
      <c r="H71" s="11"/>
      <c r="I71" s="22"/>
      <c r="J71" s="22"/>
      <c r="K71" s="22"/>
      <c r="L71" s="22"/>
      <c r="M71" s="22"/>
      <c r="N71" s="22"/>
      <c r="O71" s="22"/>
      <c r="P71" s="22"/>
      <c r="Q71" s="23"/>
    </row>
    <row r="72" ht="15.75" customHeight="1">
      <c r="A72" s="21" t="s">
        <v>41</v>
      </c>
      <c r="B72" s="48"/>
      <c r="C72" s="14"/>
      <c r="D72" s="15"/>
      <c r="E72" s="15"/>
      <c r="F72" s="15"/>
      <c r="G72" s="15"/>
      <c r="H72" s="16"/>
      <c r="I72" s="22"/>
      <c r="J72" s="22"/>
      <c r="K72" s="22"/>
      <c r="L72" s="22"/>
      <c r="M72" s="22"/>
      <c r="N72" s="22"/>
      <c r="O72" s="22"/>
      <c r="P72" s="22"/>
      <c r="Q72" s="23"/>
    </row>
    <row r="73" outlineLevel="1">
      <c r="A73" s="24"/>
      <c r="B73" s="22"/>
      <c r="C73" s="22"/>
      <c r="D73" s="22"/>
      <c r="E73" s="22"/>
      <c r="F73" s="22"/>
      <c r="G73" s="22"/>
      <c r="H73" s="22"/>
      <c r="I73" s="22"/>
      <c r="J73" s="22"/>
      <c r="K73" s="22"/>
      <c r="L73" s="22"/>
      <c r="M73" s="22"/>
      <c r="N73" s="22"/>
      <c r="O73" s="22"/>
      <c r="P73" s="22"/>
      <c r="Q73" s="23"/>
    </row>
    <row r="74" outlineLevel="1">
      <c r="A74" s="24"/>
      <c r="B74" s="22"/>
      <c r="C74" s="22"/>
      <c r="D74" s="22"/>
      <c r="E74" s="22"/>
      <c r="F74" s="22"/>
      <c r="G74" s="22"/>
      <c r="H74" s="22"/>
      <c r="I74" s="22"/>
      <c r="J74" s="22"/>
      <c r="K74" s="22"/>
      <c r="L74" s="22"/>
      <c r="M74" s="22"/>
      <c r="N74" s="22"/>
      <c r="O74" s="22"/>
      <c r="P74" s="22"/>
      <c r="Q74" s="23"/>
    </row>
    <row r="75" outlineLevel="1">
      <c r="A75" s="24"/>
      <c r="B75" s="22"/>
      <c r="C75" s="22"/>
      <c r="D75" s="22"/>
      <c r="E75" s="22"/>
      <c r="F75" s="22"/>
      <c r="G75" s="22"/>
      <c r="H75" s="22"/>
      <c r="I75" s="22"/>
      <c r="J75" s="22"/>
      <c r="K75" s="22"/>
      <c r="L75" s="22"/>
      <c r="M75" s="22"/>
      <c r="N75" s="22"/>
      <c r="O75" s="22"/>
      <c r="P75" s="22"/>
      <c r="Q75" s="23"/>
    </row>
    <row r="76" outlineLevel="1">
      <c r="A76" s="24"/>
      <c r="B76" s="22"/>
      <c r="C76" s="30" t="s">
        <v>42</v>
      </c>
      <c r="D76" s="22"/>
      <c r="E76" s="22"/>
      <c r="F76" s="22"/>
      <c r="G76" s="22"/>
      <c r="H76" s="22"/>
      <c r="I76" s="22"/>
      <c r="J76" s="22"/>
      <c r="K76" s="22"/>
      <c r="L76" s="22"/>
      <c r="M76" s="22"/>
      <c r="N76" s="49"/>
      <c r="O76" s="36"/>
      <c r="P76" s="22"/>
      <c r="Q76" s="23"/>
    </row>
    <row r="77" outlineLevel="1">
      <c r="A77" s="24"/>
      <c r="B77" s="22"/>
      <c r="C77" s="50" t="s">
        <v>43</v>
      </c>
      <c r="D77" s="22"/>
      <c r="E77" s="22"/>
      <c r="F77" s="22"/>
      <c r="G77" s="22"/>
      <c r="H77" s="22"/>
      <c r="I77" s="22"/>
      <c r="J77" s="22"/>
      <c r="K77" s="22"/>
      <c r="L77" s="22"/>
      <c r="M77" s="51" t="s">
        <v>44</v>
      </c>
      <c r="O77" s="52"/>
      <c r="P77" s="22"/>
      <c r="Q77" s="23"/>
    </row>
    <row r="78" outlineLevel="1">
      <c r="A78" s="24"/>
      <c r="B78" s="22"/>
      <c r="C78" s="53" t="s">
        <v>45</v>
      </c>
      <c r="D78" s="10"/>
      <c r="E78" s="11"/>
      <c r="F78" s="53" t="s">
        <v>46</v>
      </c>
      <c r="G78" s="54" t="s">
        <v>47</v>
      </c>
      <c r="H78" s="53" t="s">
        <v>48</v>
      </c>
      <c r="I78" s="10"/>
      <c r="J78" s="11"/>
      <c r="K78" s="55" t="s">
        <v>49</v>
      </c>
      <c r="L78" s="55" t="s">
        <v>50</v>
      </c>
      <c r="M78" s="56" t="s">
        <v>51</v>
      </c>
      <c r="N78" s="10"/>
      <c r="O78" s="55" t="s">
        <v>52</v>
      </c>
      <c r="P78" s="24"/>
      <c r="Q78" s="23"/>
    </row>
    <row r="79" ht="15.75" customHeight="1" outlineLevel="1">
      <c r="A79" s="24"/>
      <c r="B79" s="22"/>
      <c r="C79" s="14"/>
      <c r="D79" s="15"/>
      <c r="E79" s="16"/>
      <c r="F79" s="14"/>
      <c r="G79" s="48"/>
      <c r="H79" s="14"/>
      <c r="I79" s="15"/>
      <c r="J79" s="16"/>
      <c r="K79" s="48"/>
      <c r="L79" s="48"/>
      <c r="M79" s="14"/>
      <c r="N79" s="15"/>
      <c r="O79" s="48"/>
      <c r="P79" s="57"/>
      <c r="Q79" s="58"/>
    </row>
    <row r="80" outlineLevel="1">
      <c r="A80" s="24"/>
      <c r="B80" s="59" t="s">
        <v>53</v>
      </c>
      <c r="C80" s="60"/>
      <c r="D80" s="61"/>
      <c r="E80" s="62"/>
      <c r="F80" s="60"/>
      <c r="G80" s="63"/>
      <c r="H80" s="60"/>
      <c r="I80" s="61"/>
      <c r="J80" s="62"/>
      <c r="K80" s="64"/>
      <c r="L80" s="65"/>
      <c r="M80" s="66"/>
      <c r="N80" s="61"/>
      <c r="O80" s="65"/>
      <c r="P80" s="67"/>
      <c r="Q80" s="58"/>
    </row>
    <row r="81" outlineLevel="1">
      <c r="A81" s="24"/>
      <c r="B81" s="59" t="s">
        <v>54</v>
      </c>
      <c r="C81" s="68"/>
      <c r="D81" s="69"/>
      <c r="E81" s="70"/>
      <c r="F81" s="68"/>
      <c r="G81" s="71"/>
      <c r="H81" s="68"/>
      <c r="I81" s="69"/>
      <c r="J81" s="70"/>
      <c r="K81" s="71"/>
      <c r="L81" s="72"/>
      <c r="M81" s="73"/>
      <c r="N81" s="69"/>
      <c r="O81" s="72"/>
      <c r="P81" s="74"/>
      <c r="Q81" s="58"/>
    </row>
    <row r="82" outlineLevel="1">
      <c r="A82" s="24"/>
      <c r="B82" s="75"/>
      <c r="C82" s="76"/>
      <c r="D82" s="61"/>
      <c r="E82" s="62"/>
      <c r="F82" s="60"/>
      <c r="G82" s="63"/>
      <c r="H82" s="60"/>
      <c r="I82" s="61"/>
      <c r="J82" s="62"/>
      <c r="K82" s="63"/>
      <c r="L82" s="65"/>
      <c r="M82" s="66"/>
      <c r="N82" s="61"/>
      <c r="O82" s="77"/>
      <c r="P82" s="74"/>
      <c r="Q82" s="58"/>
    </row>
    <row r="83" outlineLevel="1">
      <c r="A83" s="24"/>
      <c r="B83" s="75"/>
      <c r="C83" s="78"/>
      <c r="D83" s="69"/>
      <c r="E83" s="70"/>
      <c r="F83" s="68"/>
      <c r="G83" s="71"/>
      <c r="H83" s="68"/>
      <c r="I83" s="69"/>
      <c r="J83" s="70"/>
      <c r="K83" s="71"/>
      <c r="L83" s="72"/>
      <c r="M83" s="73"/>
      <c r="N83" s="69"/>
      <c r="O83" s="72"/>
      <c r="P83" s="74"/>
      <c r="Q83" s="58"/>
    </row>
    <row r="84" outlineLevel="1">
      <c r="A84" s="24"/>
      <c r="B84" s="75"/>
      <c r="C84" s="76"/>
      <c r="D84" s="61"/>
      <c r="E84" s="62"/>
      <c r="F84" s="79"/>
      <c r="G84" s="63"/>
      <c r="H84" s="60"/>
      <c r="I84" s="61"/>
      <c r="J84" s="62"/>
      <c r="K84" s="63"/>
      <c r="L84" s="65"/>
      <c r="M84" s="66"/>
      <c r="N84" s="61"/>
      <c r="O84" s="65"/>
      <c r="P84" s="74"/>
      <c r="Q84" s="58"/>
    </row>
    <row r="85" outlineLevel="1">
      <c r="A85" s="24"/>
      <c r="B85" s="75"/>
      <c r="C85" s="78"/>
      <c r="D85" s="69"/>
      <c r="E85" s="70"/>
      <c r="F85" s="80"/>
      <c r="G85" s="72"/>
      <c r="H85" s="68"/>
      <c r="I85" s="69"/>
      <c r="J85" s="70"/>
      <c r="K85" s="71"/>
      <c r="L85" s="72"/>
      <c r="M85" s="73"/>
      <c r="N85" s="69"/>
      <c r="O85" s="81"/>
      <c r="P85" s="74"/>
      <c r="Q85" s="58"/>
    </row>
    <row r="86" outlineLevel="1">
      <c r="A86" s="24"/>
      <c r="B86" s="75"/>
      <c r="C86" s="76"/>
      <c r="D86" s="61"/>
      <c r="E86" s="62"/>
      <c r="F86" s="79"/>
      <c r="G86" s="65"/>
      <c r="H86" s="76"/>
      <c r="I86" s="61"/>
      <c r="J86" s="62"/>
      <c r="K86" s="65"/>
      <c r="L86" s="65"/>
      <c r="M86" s="66"/>
      <c r="N86" s="61"/>
      <c r="O86" s="77"/>
      <c r="P86" s="74"/>
      <c r="Q86" s="58"/>
    </row>
    <row r="87" outlineLevel="1">
      <c r="A87" s="24"/>
      <c r="B87" s="75"/>
      <c r="C87" s="78"/>
      <c r="D87" s="69"/>
      <c r="E87" s="70"/>
      <c r="F87" s="80"/>
      <c r="G87" s="72"/>
      <c r="H87" s="68"/>
      <c r="I87" s="69"/>
      <c r="J87" s="70"/>
      <c r="K87" s="71"/>
      <c r="L87" s="72"/>
      <c r="M87" s="73"/>
      <c r="N87" s="69"/>
      <c r="O87" s="81"/>
      <c r="P87" s="74"/>
      <c r="Q87" s="58"/>
    </row>
    <row r="88" outlineLevel="1">
      <c r="A88" s="24"/>
      <c r="B88" s="75"/>
      <c r="C88" s="76"/>
      <c r="D88" s="61"/>
      <c r="E88" s="62"/>
      <c r="F88" s="79"/>
      <c r="G88" s="65"/>
      <c r="H88" s="76"/>
      <c r="I88" s="61"/>
      <c r="J88" s="62"/>
      <c r="K88" s="65"/>
      <c r="L88" s="65"/>
      <c r="M88" s="66"/>
      <c r="N88" s="61"/>
      <c r="O88" s="77"/>
      <c r="P88" s="74"/>
      <c r="Q88" s="58"/>
    </row>
    <row r="89" outlineLevel="1">
      <c r="A89" s="24"/>
      <c r="B89" s="75"/>
      <c r="C89" s="78"/>
      <c r="D89" s="69"/>
      <c r="E89" s="70"/>
      <c r="F89" s="80"/>
      <c r="G89" s="82"/>
      <c r="H89" s="80"/>
      <c r="I89" s="69"/>
      <c r="J89" s="70"/>
      <c r="K89" s="82"/>
      <c r="L89" s="72"/>
      <c r="M89" s="83"/>
      <c r="N89" s="69"/>
      <c r="O89" s="84"/>
      <c r="P89" s="85" t="str">
        <f>'👾 RAW MAPPING'!J15</f>
        <v/>
      </c>
      <c r="Q89" s="58"/>
    </row>
    <row r="90" outlineLevel="1">
      <c r="A90" s="24"/>
      <c r="B90" s="75"/>
      <c r="C90" s="22"/>
      <c r="D90" s="22"/>
      <c r="E90" s="22"/>
      <c r="F90" s="22"/>
      <c r="G90" s="22"/>
      <c r="H90" s="22"/>
      <c r="I90" s="22"/>
      <c r="J90" s="22"/>
      <c r="L90" s="22">
        <f>SUM(L80:L89)</f>
        <v>0</v>
      </c>
      <c r="M90" s="22"/>
      <c r="N90" s="22"/>
      <c r="O90" s="22"/>
      <c r="P90" s="57"/>
      <c r="Q90" s="58"/>
    </row>
    <row r="91" outlineLevel="1">
      <c r="A91" s="24"/>
      <c r="B91" s="75"/>
      <c r="C91" s="30" t="s">
        <v>55</v>
      </c>
      <c r="D91" s="22"/>
      <c r="E91" s="22"/>
      <c r="F91" s="22"/>
      <c r="G91" s="22"/>
      <c r="H91" s="22"/>
      <c r="I91" s="22"/>
      <c r="J91" s="22"/>
      <c r="K91" s="22"/>
      <c r="L91" s="22"/>
      <c r="M91" s="22"/>
      <c r="N91" s="22"/>
      <c r="O91" s="22"/>
      <c r="P91" s="22"/>
      <c r="Q91" s="23"/>
    </row>
    <row r="92" outlineLevel="1">
      <c r="A92" s="24"/>
      <c r="B92" s="75"/>
      <c r="C92" s="50" t="s">
        <v>56</v>
      </c>
      <c r="D92" s="22"/>
      <c r="E92" s="22"/>
      <c r="F92" s="22"/>
      <c r="G92" s="22"/>
      <c r="H92" s="22"/>
      <c r="I92" s="22"/>
      <c r="J92" s="22"/>
      <c r="K92" s="23"/>
      <c r="L92" s="23"/>
      <c r="M92" s="23"/>
      <c r="N92" s="23"/>
      <c r="O92" s="23"/>
      <c r="P92" s="22"/>
      <c r="Q92" s="23"/>
    </row>
    <row r="93" outlineLevel="1">
      <c r="A93" s="24"/>
      <c r="B93" s="75"/>
      <c r="C93" s="53" t="s">
        <v>57</v>
      </c>
      <c r="D93" s="53" t="s">
        <v>58</v>
      </c>
      <c r="E93" s="11"/>
      <c r="F93" s="53" t="s">
        <v>59</v>
      </c>
      <c r="G93" s="11"/>
      <c r="H93" s="55" t="s">
        <v>60</v>
      </c>
      <c r="I93" s="55" t="s">
        <v>61</v>
      </c>
      <c r="J93" s="86"/>
      <c r="K93" s="23"/>
      <c r="L93" s="23"/>
      <c r="M93" s="23"/>
      <c r="N93" s="23"/>
      <c r="O93" s="23"/>
      <c r="P93" s="22"/>
      <c r="Q93" s="23"/>
    </row>
    <row r="94" ht="18.75" customHeight="1" outlineLevel="1">
      <c r="A94" s="24"/>
      <c r="B94" s="75"/>
      <c r="C94" s="14"/>
      <c r="D94" s="14"/>
      <c r="E94" s="16"/>
      <c r="F94" s="14"/>
      <c r="G94" s="16"/>
      <c r="H94" s="48"/>
      <c r="I94" s="48"/>
      <c r="J94" s="87"/>
      <c r="K94" s="23"/>
      <c r="L94" s="23"/>
      <c r="M94" s="23"/>
      <c r="N94" s="23"/>
      <c r="O94" s="23"/>
      <c r="P94" s="22"/>
      <c r="Q94" s="23"/>
    </row>
    <row r="95" outlineLevel="1">
      <c r="A95" s="24"/>
      <c r="B95" s="88" t="s">
        <v>62</v>
      </c>
      <c r="C95" s="76"/>
      <c r="D95" s="76"/>
      <c r="E95" s="62"/>
      <c r="F95" s="76"/>
      <c r="G95" s="62"/>
      <c r="H95" s="65"/>
      <c r="I95" s="89"/>
      <c r="J95" s="57"/>
      <c r="K95" s="23"/>
      <c r="L95" s="23"/>
      <c r="M95" s="23"/>
      <c r="N95" s="23"/>
      <c r="O95" s="23"/>
      <c r="P95" s="22"/>
      <c r="Q95" s="23"/>
    </row>
    <row r="96" outlineLevel="1">
      <c r="A96" s="24"/>
      <c r="B96" s="75"/>
      <c r="C96" s="78"/>
      <c r="D96" s="78"/>
      <c r="E96" s="70"/>
      <c r="F96" s="78"/>
      <c r="G96" s="70"/>
      <c r="H96" s="72"/>
      <c r="I96" s="82"/>
      <c r="J96" s="57"/>
      <c r="K96" s="23"/>
      <c r="L96" s="23"/>
      <c r="M96" s="23"/>
      <c r="N96" s="23"/>
      <c r="O96" s="23"/>
      <c r="P96" s="22"/>
      <c r="Q96" s="23"/>
    </row>
    <row r="97" outlineLevel="1">
      <c r="A97" s="24"/>
      <c r="B97" s="75"/>
      <c r="C97" s="76"/>
      <c r="D97" s="76"/>
      <c r="E97" s="62"/>
      <c r="F97" s="76"/>
      <c r="G97" s="62"/>
      <c r="H97" s="65"/>
      <c r="I97" s="89"/>
      <c r="J97" s="57"/>
      <c r="K97" s="23"/>
      <c r="L97" s="23"/>
      <c r="M97" s="23"/>
      <c r="N97" s="23"/>
      <c r="O97" s="23"/>
      <c r="P97" s="22"/>
      <c r="Q97" s="23"/>
    </row>
    <row r="98" outlineLevel="1">
      <c r="A98" s="24"/>
      <c r="B98" s="75"/>
      <c r="C98" s="78"/>
      <c r="D98" s="78"/>
      <c r="E98" s="70"/>
      <c r="F98" s="78"/>
      <c r="G98" s="70"/>
      <c r="H98" s="72"/>
      <c r="I98" s="82"/>
      <c r="J98" s="57"/>
      <c r="K98" s="23"/>
      <c r="L98" s="23"/>
      <c r="M98" s="23"/>
      <c r="N98" s="23"/>
      <c r="O98" s="23"/>
      <c r="P98" s="22"/>
      <c r="Q98" s="23"/>
    </row>
    <row r="99" outlineLevel="1">
      <c r="A99" s="24"/>
      <c r="B99" s="28"/>
      <c r="C99" s="76"/>
      <c r="D99" s="76"/>
      <c r="E99" s="62"/>
      <c r="F99" s="76"/>
      <c r="G99" s="62"/>
      <c r="H99" s="65"/>
      <c r="I99" s="89"/>
      <c r="J99" s="57"/>
      <c r="K99" s="23"/>
      <c r="L99" s="23"/>
      <c r="M99" s="23"/>
      <c r="N99" s="23"/>
      <c r="O99" s="23"/>
      <c r="P99" s="22"/>
      <c r="Q99" s="23"/>
    </row>
    <row r="100" outlineLevel="1">
      <c r="A100" s="24"/>
      <c r="B100" s="28"/>
      <c r="C100" s="78"/>
      <c r="D100" s="78"/>
      <c r="E100" s="70"/>
      <c r="F100" s="78"/>
      <c r="G100" s="70"/>
      <c r="H100" s="72"/>
      <c r="I100" s="82"/>
      <c r="J100" s="57"/>
      <c r="K100" s="23"/>
      <c r="L100" s="23"/>
      <c r="M100" s="23"/>
      <c r="N100" s="23"/>
      <c r="O100" s="23"/>
      <c r="P100" s="22"/>
      <c r="Q100" s="23"/>
    </row>
    <row r="101" outlineLevel="1">
      <c r="A101" s="24"/>
      <c r="B101" s="28"/>
      <c r="C101" s="76"/>
      <c r="D101" s="79"/>
      <c r="E101" s="62"/>
      <c r="F101" s="79"/>
      <c r="G101" s="62"/>
      <c r="H101" s="65"/>
      <c r="I101" s="89"/>
      <c r="J101" s="57"/>
      <c r="K101" s="23"/>
      <c r="L101" s="23"/>
      <c r="M101" s="23"/>
      <c r="N101" s="23"/>
      <c r="O101" s="23"/>
      <c r="P101" s="22"/>
      <c r="Q101" s="23"/>
    </row>
    <row r="102" outlineLevel="1">
      <c r="A102" s="24"/>
      <c r="B102" s="22"/>
      <c r="C102" s="78"/>
      <c r="D102" s="80"/>
      <c r="E102" s="70"/>
      <c r="F102" s="80"/>
      <c r="G102" s="70"/>
      <c r="H102" s="72"/>
      <c r="I102" s="82"/>
      <c r="J102" s="57"/>
      <c r="K102" s="23"/>
      <c r="L102" s="23"/>
      <c r="M102" s="23"/>
      <c r="N102" s="23"/>
      <c r="O102" s="23"/>
      <c r="P102" s="22"/>
      <c r="Q102" s="23"/>
    </row>
    <row r="103" outlineLevel="1">
      <c r="A103" s="24"/>
      <c r="B103" s="22"/>
      <c r="C103" s="76"/>
      <c r="D103" s="79"/>
      <c r="E103" s="62"/>
      <c r="F103" s="79"/>
      <c r="G103" s="62"/>
      <c r="H103" s="65"/>
      <c r="I103" s="89"/>
      <c r="J103" s="57"/>
      <c r="K103" s="23"/>
      <c r="L103" s="23"/>
      <c r="M103" s="23"/>
      <c r="N103" s="23"/>
      <c r="O103" s="23"/>
      <c r="P103" s="22"/>
      <c r="Q103" s="23"/>
    </row>
    <row r="104" outlineLevel="1">
      <c r="A104" s="24"/>
      <c r="B104" s="22"/>
      <c r="C104" s="78"/>
      <c r="D104" s="78"/>
      <c r="E104" s="70"/>
      <c r="F104" s="78"/>
      <c r="G104" s="70"/>
      <c r="H104" s="72"/>
      <c r="I104" s="82"/>
      <c r="J104" s="57"/>
      <c r="K104" s="23"/>
      <c r="L104" s="23"/>
      <c r="M104" s="23"/>
      <c r="N104" s="23"/>
      <c r="O104" s="23"/>
      <c r="P104" s="22"/>
      <c r="Q104" s="23"/>
    </row>
    <row r="105" outlineLevel="1">
      <c r="A105" s="24"/>
      <c r="B105" s="22"/>
      <c r="C105" s="76"/>
      <c r="D105" s="76"/>
      <c r="E105" s="62"/>
      <c r="F105" s="76"/>
      <c r="G105" s="62"/>
      <c r="H105" s="65"/>
      <c r="I105" s="89"/>
      <c r="J105" s="57"/>
      <c r="K105" s="23"/>
      <c r="L105" s="23"/>
      <c r="M105" s="23"/>
      <c r="N105" s="23"/>
      <c r="O105" s="23"/>
      <c r="P105" s="22"/>
      <c r="Q105" s="23"/>
    </row>
    <row r="106" outlineLevel="1">
      <c r="A106" s="24"/>
      <c r="B106" s="22"/>
      <c r="C106" s="78"/>
      <c r="D106" s="78"/>
      <c r="E106" s="70"/>
      <c r="F106" s="78"/>
      <c r="G106" s="70"/>
      <c r="H106" s="72"/>
      <c r="I106" s="82"/>
      <c r="J106" s="90"/>
      <c r="K106" s="23"/>
      <c r="L106" s="23"/>
      <c r="M106" s="23"/>
      <c r="N106" s="23"/>
      <c r="O106" s="23"/>
      <c r="P106" s="22"/>
      <c r="Q106" s="23"/>
    </row>
    <row r="107" outlineLevel="1">
      <c r="A107" s="24"/>
      <c r="B107" s="22"/>
      <c r="C107" s="22"/>
      <c r="D107" s="22"/>
      <c r="E107" s="22"/>
      <c r="F107" s="22"/>
      <c r="G107" s="22"/>
      <c r="H107" s="22"/>
      <c r="I107" s="22"/>
      <c r="J107" s="22"/>
      <c r="K107" s="22"/>
      <c r="L107" s="22"/>
      <c r="M107" s="22"/>
      <c r="N107" s="22"/>
      <c r="O107" s="22"/>
      <c r="P107" s="22"/>
      <c r="Q107" s="23"/>
    </row>
    <row r="108" outlineLevel="1">
      <c r="A108" s="24"/>
      <c r="B108" s="58"/>
      <c r="C108" s="30" t="s">
        <v>63</v>
      </c>
      <c r="D108" s="22"/>
      <c r="E108" s="22"/>
      <c r="F108" s="22"/>
      <c r="G108" s="22"/>
      <c r="H108" s="22"/>
      <c r="I108" s="22"/>
      <c r="J108" s="22"/>
      <c r="K108" s="22"/>
      <c r="L108" s="22"/>
      <c r="M108" s="22"/>
      <c r="N108" s="22"/>
      <c r="O108" s="22"/>
      <c r="P108" s="22"/>
      <c r="Q108" s="23"/>
    </row>
    <row r="109" outlineLevel="1">
      <c r="A109" s="24"/>
      <c r="B109" s="58"/>
      <c r="C109" s="50" t="s">
        <v>64</v>
      </c>
      <c r="D109" s="22"/>
      <c r="E109" s="22"/>
      <c r="F109" s="22"/>
      <c r="G109" s="22"/>
      <c r="H109" s="22"/>
      <c r="I109" s="22"/>
      <c r="J109" s="22"/>
      <c r="K109" s="22"/>
      <c r="L109" s="22"/>
      <c r="M109" s="22"/>
      <c r="N109" s="22"/>
      <c r="O109" s="22"/>
      <c r="P109" s="22"/>
      <c r="Q109" s="23"/>
    </row>
    <row r="110" outlineLevel="1">
      <c r="A110" s="24"/>
      <c r="B110" s="58"/>
      <c r="C110" s="91" t="s">
        <v>65</v>
      </c>
      <c r="D110" s="91" t="s">
        <v>66</v>
      </c>
      <c r="E110" s="11"/>
      <c r="F110" s="91" t="s">
        <v>67</v>
      </c>
      <c r="G110" s="11"/>
      <c r="H110" s="92" t="s">
        <v>68</v>
      </c>
      <c r="I110" s="92" t="s">
        <v>69</v>
      </c>
      <c r="J110" s="93" t="s">
        <v>70</v>
      </c>
      <c r="K110" s="92" t="s">
        <v>71</v>
      </c>
      <c r="L110" s="94" t="s">
        <v>72</v>
      </c>
      <c r="M110" s="11"/>
      <c r="N110" s="92" t="s">
        <v>73</v>
      </c>
      <c r="O110" s="94" t="s">
        <v>74</v>
      </c>
      <c r="P110" s="11"/>
      <c r="Q110" s="95"/>
    </row>
    <row r="111" ht="18.75" customHeight="1" outlineLevel="1">
      <c r="A111" s="24"/>
      <c r="B111" s="58"/>
      <c r="C111" s="14"/>
      <c r="D111" s="14"/>
      <c r="E111" s="16"/>
      <c r="F111" s="14"/>
      <c r="G111" s="16"/>
      <c r="H111" s="48"/>
      <c r="I111" s="48"/>
      <c r="J111" s="48"/>
      <c r="K111" s="48"/>
      <c r="L111" s="14"/>
      <c r="M111" s="16"/>
      <c r="N111" s="48"/>
      <c r="O111" s="14"/>
      <c r="P111" s="16"/>
      <c r="Q111" s="96" t="s">
        <v>75</v>
      </c>
    </row>
    <row r="112" outlineLevel="1">
      <c r="A112" s="24"/>
      <c r="B112" s="58"/>
      <c r="C112" s="76"/>
      <c r="D112" s="76"/>
      <c r="E112" s="62"/>
      <c r="F112" s="76"/>
      <c r="G112" s="62"/>
      <c r="H112" s="65"/>
      <c r="I112" s="65"/>
      <c r="J112" s="65"/>
      <c r="K112" s="65"/>
      <c r="L112" s="37"/>
      <c r="M112" s="62"/>
      <c r="N112" s="65"/>
      <c r="O112" s="37"/>
      <c r="P112" s="62"/>
      <c r="Q112" s="97" t="b">
        <v>0</v>
      </c>
    </row>
    <row r="113" outlineLevel="1">
      <c r="A113" s="24"/>
      <c r="B113" s="58"/>
      <c r="C113" s="78"/>
      <c r="D113" s="78"/>
      <c r="E113" s="70"/>
      <c r="F113" s="78"/>
      <c r="G113" s="70"/>
      <c r="H113" s="72"/>
      <c r="I113" s="72"/>
      <c r="J113" s="72"/>
      <c r="K113" s="72"/>
      <c r="L113" s="98"/>
      <c r="M113" s="70"/>
      <c r="N113" s="72"/>
      <c r="O113" s="99"/>
      <c r="P113" s="70"/>
      <c r="Q113" s="97" t="b">
        <v>0</v>
      </c>
    </row>
    <row r="114" outlineLevel="1">
      <c r="A114" s="24"/>
      <c r="B114" s="58"/>
      <c r="C114" s="76"/>
      <c r="D114" s="76"/>
      <c r="E114" s="62"/>
      <c r="F114" s="76"/>
      <c r="G114" s="62"/>
      <c r="H114" s="65"/>
      <c r="I114" s="65"/>
      <c r="J114" s="65"/>
      <c r="K114" s="65"/>
      <c r="L114" s="100"/>
      <c r="M114" s="62"/>
      <c r="N114" s="65"/>
      <c r="O114" s="37"/>
      <c r="P114" s="62"/>
      <c r="Q114" s="97" t="b">
        <v>0</v>
      </c>
    </row>
    <row r="115" outlineLevel="1">
      <c r="A115" s="24"/>
      <c r="B115" s="58"/>
      <c r="C115" s="78"/>
      <c r="D115" s="78"/>
      <c r="E115" s="70"/>
      <c r="F115" s="78"/>
      <c r="G115" s="70"/>
      <c r="H115" s="72"/>
      <c r="I115" s="72"/>
      <c r="J115" s="72"/>
      <c r="K115" s="72"/>
      <c r="L115" s="98"/>
      <c r="M115" s="70"/>
      <c r="N115" s="72"/>
      <c r="O115" s="98"/>
      <c r="P115" s="70"/>
      <c r="Q115" s="101" t="b">
        <v>0</v>
      </c>
    </row>
    <row r="116" outlineLevel="1">
      <c r="A116" s="24"/>
      <c r="B116" s="58"/>
      <c r="C116" s="76"/>
      <c r="D116" s="76"/>
      <c r="E116" s="62"/>
      <c r="F116" s="76"/>
      <c r="G116" s="62"/>
      <c r="H116" s="65"/>
      <c r="I116" s="65"/>
      <c r="J116" s="65"/>
      <c r="K116" s="65"/>
      <c r="L116" s="100"/>
      <c r="M116" s="62"/>
      <c r="N116" s="65"/>
      <c r="O116" s="100"/>
      <c r="P116" s="62"/>
      <c r="Q116" s="101" t="b">
        <v>0</v>
      </c>
    </row>
    <row r="117" outlineLevel="1">
      <c r="A117" s="24"/>
      <c r="B117" s="58"/>
      <c r="C117" s="78"/>
      <c r="D117" s="78"/>
      <c r="E117" s="70"/>
      <c r="F117" s="78"/>
      <c r="G117" s="70"/>
      <c r="H117" s="72"/>
      <c r="I117" s="72"/>
      <c r="J117" s="72"/>
      <c r="K117" s="72"/>
      <c r="L117" s="98"/>
      <c r="M117" s="70"/>
      <c r="N117" s="72"/>
      <c r="O117" s="98"/>
      <c r="P117" s="70"/>
      <c r="Q117" s="101" t="b">
        <v>0</v>
      </c>
    </row>
    <row r="118" outlineLevel="1">
      <c r="A118" s="24"/>
      <c r="B118" s="58"/>
      <c r="C118" s="76"/>
      <c r="D118" s="79"/>
      <c r="E118" s="62"/>
      <c r="F118" s="79"/>
      <c r="G118" s="62"/>
      <c r="H118" s="65"/>
      <c r="I118" s="89"/>
      <c r="J118" s="89"/>
      <c r="K118" s="89"/>
      <c r="L118" s="100"/>
      <c r="M118" s="62"/>
      <c r="N118" s="89"/>
      <c r="O118" s="100"/>
      <c r="P118" s="62"/>
      <c r="Q118" s="101" t="b">
        <v>0</v>
      </c>
    </row>
    <row r="119" outlineLevel="1">
      <c r="A119" s="24"/>
      <c r="B119" s="58"/>
      <c r="C119" s="78"/>
      <c r="D119" s="80"/>
      <c r="E119" s="70"/>
      <c r="F119" s="80"/>
      <c r="G119" s="70"/>
      <c r="H119" s="72"/>
      <c r="I119" s="82"/>
      <c r="J119" s="82"/>
      <c r="K119" s="82"/>
      <c r="L119" s="98"/>
      <c r="M119" s="70"/>
      <c r="N119" s="82"/>
      <c r="O119" s="98"/>
      <c r="P119" s="70"/>
      <c r="Q119" s="101" t="b">
        <v>0</v>
      </c>
    </row>
    <row r="120" outlineLevel="1">
      <c r="A120" s="24"/>
      <c r="B120" s="58"/>
      <c r="C120" s="76"/>
      <c r="D120" s="79"/>
      <c r="E120" s="62"/>
      <c r="F120" s="79"/>
      <c r="G120" s="62"/>
      <c r="H120" s="65"/>
      <c r="I120" s="89"/>
      <c r="J120" s="89"/>
      <c r="K120" s="89"/>
      <c r="L120" s="100"/>
      <c r="M120" s="62"/>
      <c r="N120" s="89"/>
      <c r="O120" s="100"/>
      <c r="P120" s="62"/>
      <c r="Q120" s="101" t="b">
        <v>0</v>
      </c>
    </row>
    <row r="121" outlineLevel="1">
      <c r="A121" s="24"/>
      <c r="B121" s="58"/>
      <c r="C121" s="78"/>
      <c r="D121" s="78"/>
      <c r="E121" s="70"/>
      <c r="F121" s="78"/>
      <c r="G121" s="70"/>
      <c r="H121" s="72"/>
      <c r="I121" s="72"/>
      <c r="J121" s="72"/>
      <c r="K121" s="72"/>
      <c r="L121" s="98"/>
      <c r="M121" s="70"/>
      <c r="N121" s="72"/>
      <c r="O121" s="98"/>
      <c r="P121" s="70"/>
      <c r="Q121" s="101" t="b">
        <v>0</v>
      </c>
    </row>
    <row r="122" outlineLevel="1">
      <c r="A122" s="24"/>
      <c r="B122" s="58"/>
      <c r="C122" s="76"/>
      <c r="D122" s="76"/>
      <c r="E122" s="62"/>
      <c r="F122" s="76"/>
      <c r="G122" s="62"/>
      <c r="H122" s="65"/>
      <c r="I122" s="65"/>
      <c r="J122" s="65"/>
      <c r="K122" s="65"/>
      <c r="L122" s="100"/>
      <c r="M122" s="62"/>
      <c r="N122" s="65"/>
      <c r="O122" s="100"/>
      <c r="P122" s="62"/>
      <c r="Q122" s="101" t="b">
        <v>0</v>
      </c>
    </row>
    <row r="123" outlineLevel="1">
      <c r="A123" s="24"/>
      <c r="B123" s="58"/>
      <c r="C123" s="78"/>
      <c r="D123" s="78"/>
      <c r="E123" s="70"/>
      <c r="F123" s="78"/>
      <c r="G123" s="70"/>
      <c r="H123" s="72"/>
      <c r="I123" s="72"/>
      <c r="J123" s="72"/>
      <c r="K123" s="72"/>
      <c r="L123" s="98"/>
      <c r="M123" s="70"/>
      <c r="N123" s="72"/>
      <c r="O123" s="98"/>
      <c r="P123" s="70"/>
      <c r="Q123" s="101" t="b">
        <v>0</v>
      </c>
    </row>
    <row r="124" outlineLevel="1">
      <c r="A124" s="24"/>
      <c r="B124" s="58"/>
      <c r="C124" s="76"/>
      <c r="D124" s="76"/>
      <c r="E124" s="62"/>
      <c r="F124" s="76"/>
      <c r="G124" s="62"/>
      <c r="H124" s="65"/>
      <c r="I124" s="65"/>
      <c r="J124" s="65"/>
      <c r="K124" s="65"/>
      <c r="L124" s="100"/>
      <c r="M124" s="62"/>
      <c r="N124" s="65"/>
      <c r="O124" s="100"/>
      <c r="P124" s="62"/>
      <c r="Q124" s="97" t="b">
        <v>0</v>
      </c>
    </row>
    <row r="125" outlineLevel="1">
      <c r="A125" s="24"/>
      <c r="B125" s="58"/>
      <c r="C125" s="78"/>
      <c r="D125" s="78"/>
      <c r="E125" s="70"/>
      <c r="F125" s="78"/>
      <c r="G125" s="70"/>
      <c r="H125" s="72"/>
      <c r="I125" s="72"/>
      <c r="J125" s="72"/>
      <c r="K125" s="72"/>
      <c r="L125" s="98"/>
      <c r="M125" s="70"/>
      <c r="N125" s="72"/>
      <c r="O125" s="98"/>
      <c r="P125" s="70"/>
      <c r="Q125" s="101" t="b">
        <v>0</v>
      </c>
    </row>
    <row r="126" outlineLevel="1">
      <c r="A126" s="24"/>
      <c r="B126" s="58"/>
      <c r="C126" s="76"/>
      <c r="D126" s="76"/>
      <c r="E126" s="62"/>
      <c r="F126" s="76"/>
      <c r="G126" s="62"/>
      <c r="H126" s="65"/>
      <c r="I126" s="65"/>
      <c r="J126" s="65"/>
      <c r="K126" s="65"/>
      <c r="L126" s="100"/>
      <c r="M126" s="62"/>
      <c r="N126" s="65"/>
      <c r="O126" s="100"/>
      <c r="P126" s="62"/>
      <c r="Q126" s="101" t="b">
        <v>0</v>
      </c>
    </row>
    <row r="127" outlineLevel="1">
      <c r="A127" s="24"/>
      <c r="B127" s="22"/>
      <c r="C127" s="22"/>
      <c r="D127" s="22"/>
      <c r="E127" s="22"/>
      <c r="F127" s="22"/>
      <c r="G127" s="22"/>
      <c r="H127" s="22"/>
      <c r="I127" s="22"/>
      <c r="J127" s="22"/>
      <c r="K127" s="22"/>
      <c r="L127" s="22"/>
      <c r="M127" s="22"/>
      <c r="N127" s="22"/>
      <c r="O127" s="22"/>
      <c r="P127" s="22"/>
      <c r="Q127" s="102"/>
    </row>
    <row r="128" outlineLevel="1">
      <c r="A128" s="24"/>
      <c r="B128" s="22"/>
      <c r="C128" s="30" t="s">
        <v>76</v>
      </c>
      <c r="D128" s="22"/>
      <c r="E128" s="22"/>
      <c r="F128" s="22"/>
      <c r="G128" s="22"/>
      <c r="H128" s="22"/>
      <c r="I128" s="22"/>
      <c r="J128" s="22"/>
      <c r="K128" s="22"/>
      <c r="L128" s="22"/>
      <c r="M128" s="22"/>
      <c r="N128" s="22"/>
      <c r="O128" s="22"/>
      <c r="P128" s="22"/>
      <c r="Q128" s="23"/>
    </row>
    <row r="129" outlineLevel="1">
      <c r="A129" s="24"/>
      <c r="B129" s="22"/>
      <c r="C129" s="103" t="s">
        <v>77</v>
      </c>
      <c r="D129" s="103" t="s">
        <v>78</v>
      </c>
      <c r="E129" s="36"/>
      <c r="F129" s="103" t="s">
        <v>79</v>
      </c>
      <c r="G129" s="36"/>
      <c r="H129" s="104" t="s">
        <v>60</v>
      </c>
      <c r="I129" s="36"/>
      <c r="J129" s="104" t="s">
        <v>80</v>
      </c>
      <c r="K129" s="36"/>
      <c r="L129" s="87"/>
      <c r="M129" s="22"/>
      <c r="N129" s="22"/>
      <c r="O129" s="22"/>
      <c r="P129" s="22"/>
      <c r="Q129" s="23"/>
    </row>
    <row r="130" outlineLevel="1">
      <c r="A130" s="24"/>
      <c r="B130" s="22"/>
      <c r="C130" s="76"/>
      <c r="D130" s="76" t="str">
        <f>iferror(vlookup(C130,'👾 RAW MAPPING'!A:D,2,FALSE)," ")</f>
        <v> </v>
      </c>
      <c r="E130" s="62"/>
      <c r="F130" s="76" t="str">
        <f>iferror(vlookup(C130,'👾 RAW MAPPING'!A:D,3,FALSE)," ")</f>
        <v> </v>
      </c>
      <c r="G130" s="62"/>
      <c r="H130" s="76" t="s">
        <v>81</v>
      </c>
      <c r="I130" s="62"/>
      <c r="J130" s="76" t="str">
        <f>iferror(vlookup(C130,'👾 RAW MAPPING'!A:D,4,FALSE)," ")</f>
        <v> </v>
      </c>
      <c r="K130" s="62"/>
      <c r="L130" s="57"/>
      <c r="M130" s="22"/>
      <c r="N130" s="22"/>
      <c r="O130" s="22"/>
      <c r="P130" s="22"/>
      <c r="Q130" s="23"/>
    </row>
    <row r="131" outlineLevel="1">
      <c r="A131" s="24"/>
      <c r="B131" s="22"/>
      <c r="C131" s="78"/>
      <c r="D131" s="78" t="str">
        <f>iferror(vlookup(C131,'👾 RAW MAPPING'!A:D,2,FALSE)," ")</f>
        <v> </v>
      </c>
      <c r="E131" s="70"/>
      <c r="F131" s="78" t="str">
        <f>iferror(vlookup(C131,'👾 RAW MAPPING'!A:D,3,FALSE)," ")</f>
        <v> </v>
      </c>
      <c r="G131" s="70"/>
      <c r="H131" s="78" t="s">
        <v>82</v>
      </c>
      <c r="I131" s="70"/>
      <c r="J131" s="78" t="str">
        <f>iferror(vlookup(C131,'👾 RAW MAPPING'!A:D,4,FALSE)," ")</f>
        <v> </v>
      </c>
      <c r="K131" s="70"/>
      <c r="L131" s="57"/>
      <c r="M131" s="22"/>
      <c r="N131" s="22"/>
      <c r="O131" s="22"/>
      <c r="P131" s="22"/>
      <c r="Q131" s="23"/>
    </row>
    <row r="132" outlineLevel="1">
      <c r="A132" s="24"/>
      <c r="B132" s="22"/>
      <c r="C132" s="76"/>
      <c r="D132" s="76" t="str">
        <f>iferror(vlookup(C132,'👾 RAW MAPPING'!A:D,2,FALSE)," ")</f>
        <v> </v>
      </c>
      <c r="E132" s="62"/>
      <c r="F132" s="76" t="str">
        <f>iferror(vlookup(C132,'👾 RAW MAPPING'!A:D,3,FALSE)," ")</f>
        <v> </v>
      </c>
      <c r="G132" s="62"/>
      <c r="H132" s="79"/>
      <c r="I132" s="62"/>
      <c r="J132" s="76" t="str">
        <f>iferror(vlookup(C132,'👾 RAW MAPPING'!A:D,4,FALSE)," ")</f>
        <v> </v>
      </c>
      <c r="K132" s="62"/>
      <c r="L132" s="57"/>
      <c r="M132" s="22"/>
      <c r="N132" s="22"/>
      <c r="O132" s="22"/>
      <c r="P132" s="22"/>
      <c r="Q132" s="23"/>
    </row>
    <row r="133" outlineLevel="1">
      <c r="A133" s="24"/>
      <c r="B133" s="22"/>
      <c r="C133" s="78"/>
      <c r="D133" s="78" t="str">
        <f>iferror(vlookup(C133,'👾 RAW MAPPING'!A:D,2,FALSE)," ")</f>
        <v> </v>
      </c>
      <c r="E133" s="70"/>
      <c r="F133" s="78" t="str">
        <f>iferror(vlookup(C133,'👾 RAW MAPPING'!A:D,3,FALSE)," ")</f>
        <v> </v>
      </c>
      <c r="G133" s="70"/>
      <c r="H133" s="80"/>
      <c r="I133" s="70"/>
      <c r="J133" s="78" t="str">
        <f>iferror(vlookup(C133,'👾 RAW MAPPING'!A:D,4,FALSE)," ")</f>
        <v> </v>
      </c>
      <c r="K133" s="70"/>
      <c r="L133" s="57"/>
      <c r="M133" s="22"/>
      <c r="N133" s="22"/>
      <c r="O133" s="22"/>
      <c r="P133" s="22"/>
      <c r="Q133" s="23"/>
    </row>
    <row r="134" outlineLevel="1">
      <c r="A134" s="24"/>
      <c r="B134" s="22"/>
      <c r="C134" s="22"/>
      <c r="D134" s="22"/>
      <c r="E134" s="22"/>
      <c r="F134" s="22"/>
      <c r="G134" s="22"/>
      <c r="H134" s="22"/>
      <c r="I134" s="22"/>
      <c r="J134" s="22"/>
      <c r="K134" s="22"/>
      <c r="L134" s="22"/>
      <c r="M134" s="22"/>
      <c r="N134" s="22"/>
      <c r="O134" s="22"/>
      <c r="P134" s="22"/>
      <c r="Q134" s="23"/>
    </row>
    <row r="135" outlineLevel="1">
      <c r="A135" s="24"/>
      <c r="B135" s="22"/>
      <c r="C135" s="22"/>
      <c r="D135" s="22"/>
      <c r="E135" s="22"/>
      <c r="F135" s="22"/>
      <c r="G135" s="22"/>
      <c r="H135" s="22"/>
      <c r="I135" s="22"/>
      <c r="J135" s="22"/>
      <c r="K135" s="22"/>
      <c r="L135" s="22"/>
      <c r="M135" s="22"/>
      <c r="N135" s="22"/>
      <c r="O135" s="22"/>
      <c r="P135" s="22"/>
      <c r="Q135" s="23"/>
    </row>
    <row r="136" outlineLevel="1">
      <c r="A136" s="24"/>
      <c r="B136" s="22"/>
      <c r="C136" s="22"/>
      <c r="D136" s="22"/>
      <c r="E136" s="22"/>
      <c r="F136" s="22"/>
      <c r="G136" s="22"/>
      <c r="H136" s="22"/>
      <c r="I136" s="22"/>
      <c r="J136" s="22"/>
      <c r="K136" s="22"/>
      <c r="L136" s="22"/>
      <c r="M136" s="22"/>
      <c r="N136" s="22"/>
      <c r="O136" s="22"/>
      <c r="P136" s="22"/>
      <c r="Q136" s="23"/>
    </row>
    <row r="137" ht="17.25" customHeight="1">
      <c r="A137" s="21"/>
      <c r="B137" s="47" t="s">
        <v>83</v>
      </c>
      <c r="C137" s="20" t="s">
        <v>84</v>
      </c>
      <c r="D137" s="10"/>
      <c r="E137" s="10"/>
      <c r="F137" s="10"/>
      <c r="G137" s="10"/>
      <c r="H137" s="11"/>
      <c r="I137" s="22"/>
      <c r="J137" s="22"/>
      <c r="K137" s="22"/>
      <c r="L137" s="22"/>
      <c r="M137" s="22"/>
      <c r="N137" s="22"/>
      <c r="O137" s="22"/>
      <c r="P137" s="22"/>
      <c r="Q137" s="23"/>
    </row>
    <row r="138" ht="17.25" customHeight="1">
      <c r="A138" s="21" t="s">
        <v>85</v>
      </c>
      <c r="B138" s="48"/>
      <c r="C138" s="14"/>
      <c r="D138" s="15"/>
      <c r="E138" s="15"/>
      <c r="F138" s="15"/>
      <c r="G138" s="15"/>
      <c r="H138" s="16"/>
      <c r="I138" s="22"/>
      <c r="J138" s="22"/>
      <c r="K138" s="22"/>
      <c r="L138" s="22"/>
      <c r="M138" s="22"/>
      <c r="N138" s="22"/>
      <c r="O138" s="22"/>
      <c r="P138" s="22"/>
      <c r="Q138" s="23"/>
    </row>
    <row r="139" outlineLevel="1">
      <c r="A139" s="24"/>
      <c r="B139" s="22"/>
      <c r="C139" s="105"/>
      <c r="D139" s="22"/>
      <c r="E139" s="22"/>
      <c r="F139" s="22"/>
      <c r="G139" s="22"/>
      <c r="H139" s="22"/>
      <c r="I139" s="22"/>
      <c r="J139" s="22"/>
      <c r="K139" s="22"/>
      <c r="L139" s="22"/>
      <c r="M139" s="22"/>
      <c r="N139" s="22"/>
      <c r="O139" s="22"/>
      <c r="P139" s="22"/>
      <c r="Q139" s="23"/>
    </row>
    <row r="140" outlineLevel="1">
      <c r="A140" s="24"/>
      <c r="B140" s="43"/>
      <c r="C140" s="105"/>
      <c r="D140" s="22"/>
      <c r="E140" s="22"/>
      <c r="F140" s="22"/>
      <c r="G140" s="22"/>
      <c r="H140" s="22"/>
      <c r="I140" s="22"/>
      <c r="J140" s="22"/>
      <c r="K140" s="22"/>
      <c r="L140" s="22"/>
      <c r="M140" s="22"/>
      <c r="N140" s="22"/>
      <c r="O140" s="22"/>
      <c r="P140" s="22"/>
      <c r="Q140" s="23"/>
    </row>
    <row r="141" outlineLevel="1">
      <c r="A141" s="24"/>
      <c r="B141" s="22"/>
      <c r="C141" s="105"/>
      <c r="D141" s="22"/>
      <c r="E141" s="22"/>
      <c r="F141" s="22"/>
      <c r="G141" s="22"/>
      <c r="H141" s="22"/>
      <c r="I141" s="22"/>
      <c r="J141" s="22"/>
      <c r="K141" s="22"/>
      <c r="L141" s="22"/>
      <c r="M141" s="22"/>
      <c r="N141" s="22"/>
      <c r="O141" s="22"/>
      <c r="P141" s="22"/>
      <c r="Q141" s="23"/>
    </row>
    <row r="142" outlineLevel="1">
      <c r="A142" s="24"/>
      <c r="B142" s="22"/>
      <c r="C142" s="30" t="s">
        <v>86</v>
      </c>
      <c r="D142" s="22"/>
      <c r="E142" s="22"/>
      <c r="F142" s="22"/>
      <c r="G142" s="22"/>
      <c r="H142" s="22"/>
      <c r="I142" s="22"/>
      <c r="J142" s="22"/>
      <c r="K142" s="22"/>
      <c r="L142" s="22"/>
      <c r="M142" s="22"/>
      <c r="N142" s="22"/>
      <c r="O142" s="22"/>
      <c r="P142" s="22"/>
      <c r="Q142" s="23"/>
    </row>
    <row r="143" outlineLevel="1">
      <c r="A143" s="24"/>
      <c r="B143" s="29"/>
      <c r="C143" s="76" t="s">
        <v>87</v>
      </c>
      <c r="D143" s="35"/>
      <c r="E143" s="36"/>
      <c r="F143" s="106"/>
      <c r="G143" s="76" t="s">
        <v>88</v>
      </c>
      <c r="H143" s="61"/>
      <c r="I143" s="61"/>
      <c r="J143" s="62"/>
      <c r="K143" s="106"/>
      <c r="L143" s="57"/>
      <c r="M143" s="27"/>
      <c r="N143" s="27"/>
      <c r="O143" s="58"/>
      <c r="P143" s="22"/>
      <c r="Q143" s="23"/>
    </row>
    <row r="144" outlineLevel="1">
      <c r="A144" s="24"/>
      <c r="B144" s="29"/>
      <c r="C144" s="107" t="s">
        <v>89</v>
      </c>
      <c r="D144" s="35"/>
      <c r="E144" s="36"/>
      <c r="F144" s="106"/>
      <c r="G144" s="78" t="s">
        <v>90</v>
      </c>
      <c r="H144" s="69"/>
      <c r="I144" s="69"/>
      <c r="J144" s="70"/>
      <c r="K144" s="106"/>
      <c r="L144" s="57"/>
      <c r="M144" s="27"/>
      <c r="N144" s="27"/>
      <c r="O144" s="58"/>
      <c r="P144" s="22"/>
      <c r="Q144" s="23"/>
    </row>
    <row r="145" outlineLevel="1">
      <c r="A145" s="24"/>
      <c r="B145" s="29"/>
      <c r="C145" s="76" t="s">
        <v>91</v>
      </c>
      <c r="D145" s="35"/>
      <c r="E145" s="36"/>
      <c r="F145" s="106"/>
      <c r="G145" s="79" t="s">
        <v>92</v>
      </c>
      <c r="H145" s="61"/>
      <c r="I145" s="61"/>
      <c r="J145" s="62"/>
      <c r="K145" s="106"/>
      <c r="L145" s="57"/>
      <c r="M145" s="27"/>
      <c r="N145" s="27"/>
      <c r="O145" s="58"/>
      <c r="P145" s="22"/>
      <c r="Q145" s="23"/>
    </row>
    <row r="146" outlineLevel="1">
      <c r="A146" s="24"/>
      <c r="B146" s="22"/>
      <c r="C146" s="107" t="s">
        <v>93</v>
      </c>
      <c r="D146" s="35"/>
      <c r="E146" s="36"/>
      <c r="F146" s="106"/>
      <c r="G146" s="80" t="s">
        <v>94</v>
      </c>
      <c r="H146" s="69"/>
      <c r="I146" s="69"/>
      <c r="J146" s="70"/>
      <c r="K146" s="106"/>
      <c r="L146" s="22"/>
      <c r="M146" s="27"/>
      <c r="N146" s="22"/>
      <c r="O146" s="22"/>
      <c r="P146" s="22"/>
      <c r="Q146" s="23"/>
    </row>
    <row r="147" outlineLevel="1">
      <c r="A147" s="24"/>
      <c r="B147" s="22"/>
      <c r="C147" s="76" t="s">
        <v>95</v>
      </c>
      <c r="D147" s="35"/>
      <c r="E147" s="36"/>
      <c r="F147" s="18"/>
      <c r="G147" s="108" t="s">
        <v>96</v>
      </c>
      <c r="H147" s="61"/>
      <c r="I147" s="61"/>
      <c r="J147" s="62"/>
      <c r="K147" s="106"/>
      <c r="L147" s="22"/>
      <c r="M147" s="27"/>
      <c r="N147" s="22"/>
      <c r="O147" s="22"/>
      <c r="P147" s="22"/>
      <c r="Q147" s="23"/>
    </row>
    <row r="148" outlineLevel="1">
      <c r="A148" s="24"/>
      <c r="B148" s="22"/>
      <c r="C148" s="19"/>
      <c r="D148" s="19"/>
      <c r="E148" s="19"/>
      <c r="F148" s="19"/>
      <c r="G148" s="22"/>
      <c r="H148" s="22"/>
      <c r="I148" s="22"/>
      <c r="J148" s="22"/>
      <c r="K148" s="22"/>
      <c r="L148" s="22"/>
      <c r="M148" s="27"/>
      <c r="N148" s="22"/>
      <c r="O148" s="22"/>
      <c r="P148" s="22"/>
      <c r="Q148" s="23"/>
    </row>
    <row r="149" outlineLevel="1">
      <c r="A149" s="24"/>
      <c r="B149" s="22"/>
      <c r="C149" s="25"/>
      <c r="D149" s="22"/>
      <c r="E149" s="22"/>
      <c r="F149" s="22"/>
      <c r="G149" s="22"/>
      <c r="H149" s="22"/>
      <c r="I149" s="22"/>
      <c r="J149" s="22"/>
      <c r="K149" s="22"/>
      <c r="L149" s="22"/>
      <c r="M149" s="109"/>
      <c r="N149" s="22"/>
      <c r="O149" s="22"/>
      <c r="P149" s="22"/>
      <c r="Q149" s="23"/>
    </row>
    <row r="150" outlineLevel="1">
      <c r="A150" s="24"/>
      <c r="B150" s="22"/>
      <c r="C150" s="25"/>
      <c r="D150" s="22"/>
      <c r="E150" s="22"/>
      <c r="F150" s="22"/>
      <c r="G150" s="22"/>
      <c r="H150" s="22"/>
      <c r="I150" s="22"/>
      <c r="J150" s="22"/>
      <c r="K150" s="22"/>
      <c r="L150" s="22"/>
      <c r="M150" s="109"/>
      <c r="N150" s="22"/>
      <c r="O150" s="22"/>
      <c r="P150" s="22"/>
      <c r="Q150" s="23"/>
    </row>
    <row r="151" outlineLevel="1">
      <c r="A151" s="24"/>
      <c r="B151" s="22"/>
      <c r="C151" s="30" t="s">
        <v>97</v>
      </c>
      <c r="D151" s="22"/>
      <c r="E151" s="22"/>
      <c r="F151" s="22"/>
      <c r="G151" s="22"/>
      <c r="H151" s="22"/>
      <c r="I151" s="22"/>
      <c r="J151" s="22"/>
      <c r="K151" s="22"/>
      <c r="L151" s="43"/>
      <c r="M151" s="110"/>
      <c r="N151" s="43"/>
      <c r="O151" s="43"/>
      <c r="P151" s="43"/>
      <c r="Q151" s="46"/>
    </row>
    <row r="152" outlineLevel="1">
      <c r="A152" s="24"/>
      <c r="B152" s="22"/>
      <c r="C152" s="111"/>
      <c r="D152" s="35"/>
      <c r="E152" s="35"/>
      <c r="F152" s="35"/>
      <c r="G152" s="35"/>
      <c r="H152" s="35"/>
      <c r="I152" s="35"/>
      <c r="J152" s="35"/>
      <c r="K152" s="35"/>
      <c r="L152" s="112"/>
      <c r="M152" s="113"/>
      <c r="N152" s="113"/>
      <c r="O152" s="113"/>
      <c r="P152" s="43"/>
      <c r="Q152" s="46"/>
    </row>
    <row r="153" outlineLevel="1">
      <c r="A153" s="24"/>
      <c r="B153" s="22"/>
      <c r="C153" s="25"/>
      <c r="D153" s="22"/>
      <c r="E153" s="22"/>
      <c r="F153" s="22"/>
      <c r="G153" s="22"/>
      <c r="H153" s="22"/>
      <c r="I153" s="22"/>
      <c r="J153" s="22"/>
      <c r="K153" s="22"/>
      <c r="L153" s="43"/>
      <c r="M153" s="114"/>
      <c r="N153" s="43"/>
      <c r="O153" s="43"/>
      <c r="P153" s="43"/>
      <c r="Q153" s="46"/>
    </row>
    <row r="154" outlineLevel="1">
      <c r="A154" s="24"/>
      <c r="B154" s="22"/>
      <c r="C154" s="25"/>
      <c r="D154" s="22"/>
      <c r="E154" s="22"/>
      <c r="F154" s="22"/>
      <c r="G154" s="22"/>
      <c r="H154" s="22"/>
      <c r="I154" s="22"/>
      <c r="J154" s="22"/>
      <c r="K154" s="22"/>
      <c r="L154" s="43"/>
      <c r="M154" s="114"/>
      <c r="N154" s="43"/>
      <c r="O154" s="43"/>
      <c r="P154" s="43"/>
      <c r="Q154" s="46"/>
    </row>
    <row r="155" outlineLevel="1">
      <c r="A155" s="24"/>
      <c r="B155" s="22"/>
      <c r="C155" s="25"/>
      <c r="D155" s="22"/>
      <c r="E155" s="22"/>
      <c r="F155" s="22"/>
      <c r="G155" s="22"/>
      <c r="H155" s="22"/>
      <c r="I155" s="22"/>
      <c r="J155" s="22"/>
      <c r="K155" s="22"/>
      <c r="L155" s="22"/>
      <c r="M155" s="109"/>
      <c r="N155" s="22"/>
      <c r="O155" s="22"/>
      <c r="P155" s="22"/>
      <c r="Q155" s="23"/>
    </row>
    <row r="156" outlineLevel="1">
      <c r="A156" s="24"/>
      <c r="B156" s="22"/>
      <c r="C156" s="30" t="s">
        <v>98</v>
      </c>
      <c r="D156" s="22"/>
      <c r="E156" s="22"/>
      <c r="F156" s="22"/>
      <c r="G156" s="22"/>
      <c r="H156" s="22"/>
      <c r="I156" s="22"/>
      <c r="J156" s="22"/>
      <c r="K156" s="22"/>
      <c r="L156" s="22"/>
      <c r="M156" s="29"/>
      <c r="N156" s="22"/>
      <c r="O156" s="22"/>
      <c r="P156" s="22"/>
      <c r="Q156" s="23"/>
    </row>
    <row r="157" outlineLevel="1">
      <c r="A157" s="24"/>
      <c r="B157" s="22"/>
      <c r="C157" s="50" t="s">
        <v>99</v>
      </c>
      <c r="D157" s="22"/>
      <c r="E157" s="22"/>
      <c r="F157" s="22"/>
      <c r="G157" s="22"/>
      <c r="H157" s="22"/>
      <c r="I157" s="22"/>
      <c r="J157" s="22"/>
      <c r="K157" s="22"/>
      <c r="L157" s="22"/>
      <c r="M157" s="29"/>
      <c r="N157" s="22"/>
      <c r="O157" s="22"/>
      <c r="P157" s="22"/>
      <c r="Q157" s="23"/>
    </row>
    <row r="158" outlineLevel="1">
      <c r="A158" s="24"/>
      <c r="B158" s="22"/>
      <c r="C158" s="53" t="s">
        <v>100</v>
      </c>
      <c r="D158" s="10"/>
      <c r="E158" s="11"/>
      <c r="F158" s="55" t="s">
        <v>101</v>
      </c>
      <c r="G158" s="55" t="s">
        <v>102</v>
      </c>
      <c r="H158" s="55" t="s">
        <v>103</v>
      </c>
      <c r="I158" s="55" t="s">
        <v>104</v>
      </c>
      <c r="J158" s="55" t="s">
        <v>105</v>
      </c>
      <c r="K158" s="55" t="s">
        <v>106</v>
      </c>
      <c r="L158" s="22"/>
      <c r="M158" s="29"/>
      <c r="N158" s="22"/>
      <c r="O158" s="22"/>
      <c r="P158" s="22"/>
      <c r="Q158" s="23"/>
    </row>
    <row r="159" outlineLevel="1">
      <c r="A159" s="24"/>
      <c r="B159" s="22"/>
      <c r="C159" s="12"/>
      <c r="E159" s="13"/>
      <c r="F159" s="115"/>
      <c r="G159" s="115"/>
      <c r="H159" s="115"/>
      <c r="I159" s="115"/>
      <c r="J159" s="115"/>
      <c r="K159" s="115"/>
      <c r="L159" s="22"/>
      <c r="M159" s="29"/>
      <c r="N159" s="22"/>
      <c r="O159" s="22"/>
      <c r="P159" s="22"/>
      <c r="Q159" s="23"/>
    </row>
    <row r="160" ht="18.75" customHeight="1" outlineLevel="1">
      <c r="A160" s="24"/>
      <c r="B160" s="22"/>
      <c r="C160" s="14"/>
      <c r="D160" s="15"/>
      <c r="E160" s="16"/>
      <c r="F160" s="48"/>
      <c r="G160" s="48"/>
      <c r="H160" s="48"/>
      <c r="I160" s="48"/>
      <c r="J160" s="48"/>
      <c r="K160" s="48"/>
      <c r="L160" s="22"/>
      <c r="M160" s="22"/>
      <c r="N160" s="22"/>
      <c r="O160" s="22"/>
      <c r="P160" s="22"/>
      <c r="Q160" s="23"/>
    </row>
    <row r="161" outlineLevel="1">
      <c r="A161" s="24"/>
      <c r="B161" s="22"/>
      <c r="C161" s="37"/>
      <c r="D161" s="61"/>
      <c r="E161" s="62"/>
      <c r="F161" s="65"/>
      <c r="G161" s="89"/>
      <c r="H161" s="89"/>
      <c r="I161" s="89"/>
      <c r="J161" s="89"/>
      <c r="K161" s="89"/>
      <c r="L161" s="22"/>
      <c r="M161" s="29"/>
      <c r="N161" s="22"/>
      <c r="O161" s="22"/>
      <c r="P161" s="22"/>
      <c r="Q161" s="23"/>
    </row>
    <row r="162" outlineLevel="1">
      <c r="A162" s="24"/>
      <c r="B162" s="22"/>
      <c r="C162" s="99"/>
      <c r="D162" s="69"/>
      <c r="E162" s="70"/>
      <c r="F162" s="82"/>
      <c r="G162" s="82"/>
      <c r="H162" s="82"/>
      <c r="I162" s="82"/>
      <c r="J162" s="82"/>
      <c r="K162" s="82"/>
      <c r="L162" s="22"/>
      <c r="M162" s="29"/>
      <c r="N162" s="22"/>
      <c r="O162" s="22"/>
      <c r="P162" s="22"/>
      <c r="Q162" s="23"/>
    </row>
    <row r="163" outlineLevel="1">
      <c r="A163" s="24"/>
      <c r="B163" s="22"/>
      <c r="C163" s="37"/>
      <c r="D163" s="61"/>
      <c r="E163" s="62"/>
      <c r="F163" s="89"/>
      <c r="G163" s="89"/>
      <c r="H163" s="89"/>
      <c r="I163" s="89"/>
      <c r="J163" s="89"/>
      <c r="K163" s="89"/>
      <c r="L163" s="22"/>
      <c r="M163" s="22"/>
      <c r="N163" s="22"/>
      <c r="O163" s="22"/>
      <c r="P163" s="22"/>
      <c r="Q163" s="23"/>
    </row>
    <row r="164" outlineLevel="1">
      <c r="A164" s="24"/>
      <c r="B164" s="22"/>
      <c r="C164" s="99"/>
      <c r="D164" s="69"/>
      <c r="E164" s="70"/>
      <c r="F164" s="82"/>
      <c r="G164" s="82"/>
      <c r="H164" s="82"/>
      <c r="I164" s="82"/>
      <c r="J164" s="82"/>
      <c r="K164" s="82"/>
      <c r="L164" s="22"/>
      <c r="M164" s="22"/>
      <c r="N164" s="22"/>
      <c r="O164" s="22"/>
      <c r="P164" s="22"/>
      <c r="Q164" s="23"/>
    </row>
    <row r="165" outlineLevel="1">
      <c r="A165" s="24"/>
      <c r="B165" s="22"/>
      <c r="C165" s="37"/>
      <c r="D165" s="61"/>
      <c r="E165" s="62"/>
      <c r="F165" s="89"/>
      <c r="G165" s="89"/>
      <c r="H165" s="89"/>
      <c r="I165" s="89"/>
      <c r="J165" s="89"/>
      <c r="K165" s="89"/>
      <c r="L165" s="22"/>
      <c r="M165" s="22"/>
      <c r="N165" s="22"/>
      <c r="O165" s="22"/>
      <c r="P165" s="22"/>
      <c r="Q165" s="23"/>
    </row>
    <row r="166" outlineLevel="1">
      <c r="A166" s="24"/>
      <c r="B166" s="22"/>
      <c r="C166" s="99"/>
      <c r="D166" s="69"/>
      <c r="E166" s="70"/>
      <c r="F166" s="82"/>
      <c r="G166" s="82"/>
      <c r="H166" s="82"/>
      <c r="I166" s="82"/>
      <c r="J166" s="82"/>
      <c r="K166" s="82"/>
      <c r="L166" s="22"/>
      <c r="M166" s="22"/>
      <c r="N166" s="22"/>
      <c r="O166" s="22"/>
      <c r="P166" s="22"/>
      <c r="Q166" s="23"/>
    </row>
    <row r="167" outlineLevel="1">
      <c r="A167" s="24"/>
      <c r="B167" s="22"/>
      <c r="C167" s="37"/>
      <c r="D167" s="61"/>
      <c r="E167" s="62"/>
      <c r="F167" s="89"/>
      <c r="G167" s="89"/>
      <c r="H167" s="89"/>
      <c r="I167" s="89"/>
      <c r="J167" s="89"/>
      <c r="K167" s="89"/>
      <c r="L167" s="22"/>
      <c r="M167" s="22"/>
      <c r="N167" s="22"/>
      <c r="O167" s="22"/>
      <c r="P167" s="22"/>
      <c r="Q167" s="23"/>
    </row>
    <row r="168" outlineLevel="1">
      <c r="A168" s="24"/>
      <c r="B168" s="22"/>
      <c r="C168" s="99"/>
      <c r="D168" s="69"/>
      <c r="E168" s="70"/>
      <c r="F168" s="82"/>
      <c r="G168" s="82"/>
      <c r="H168" s="82"/>
      <c r="I168" s="82"/>
      <c r="J168" s="82"/>
      <c r="K168" s="82"/>
      <c r="L168" s="22"/>
      <c r="M168" s="22"/>
      <c r="N168" s="22"/>
      <c r="O168" s="22"/>
      <c r="P168" s="22"/>
      <c r="Q168" s="23"/>
    </row>
    <row r="169" outlineLevel="1">
      <c r="A169" s="24"/>
      <c r="B169" s="22"/>
      <c r="C169" s="37"/>
      <c r="D169" s="61"/>
      <c r="E169" s="62"/>
      <c r="F169" s="89"/>
      <c r="G169" s="89"/>
      <c r="H169" s="89"/>
      <c r="I169" s="89"/>
      <c r="J169" s="89"/>
      <c r="K169" s="89"/>
      <c r="L169" s="22"/>
      <c r="M169" s="22"/>
      <c r="N169" s="22"/>
      <c r="O169" s="22"/>
      <c r="P169" s="22"/>
      <c r="Q169" s="23"/>
    </row>
    <row r="170" outlineLevel="1">
      <c r="A170" s="24"/>
      <c r="B170" s="22"/>
      <c r="C170" s="99"/>
      <c r="D170" s="69"/>
      <c r="E170" s="70"/>
      <c r="F170" s="72"/>
      <c r="G170" s="82"/>
      <c r="H170" s="82"/>
      <c r="I170" s="82"/>
      <c r="J170" s="82"/>
      <c r="K170" s="82"/>
      <c r="L170" s="22"/>
      <c r="M170" s="22"/>
      <c r="N170" s="22"/>
      <c r="O170" s="22"/>
      <c r="P170" s="22"/>
      <c r="Q170" s="23"/>
    </row>
    <row r="171" outlineLevel="1">
      <c r="A171" s="24"/>
      <c r="B171" s="22"/>
      <c r="C171" s="116"/>
      <c r="D171" s="117"/>
      <c r="E171" s="117"/>
      <c r="F171" s="117">
        <f t="shared" ref="F171:G171" si="1">sum(F161:F170)</f>
        <v>0</v>
      </c>
      <c r="G171" s="117">
        <f t="shared" si="1"/>
        <v>0</v>
      </c>
      <c r="H171" s="117"/>
      <c r="I171" s="117">
        <f t="shared" ref="I171:J171" si="2">sum(I161:I170)</f>
        <v>0</v>
      </c>
      <c r="J171" s="117">
        <f t="shared" si="2"/>
        <v>0</v>
      </c>
      <c r="K171" s="118"/>
      <c r="L171" s="22"/>
      <c r="M171" s="22"/>
      <c r="N171" s="22"/>
      <c r="O171" s="22"/>
      <c r="P171" s="22"/>
      <c r="Q171" s="23"/>
    </row>
    <row r="172" outlineLevel="1">
      <c r="A172" s="24"/>
      <c r="B172" s="22"/>
      <c r="C172" s="22"/>
      <c r="D172" s="22"/>
      <c r="E172" s="22"/>
      <c r="F172" s="22"/>
      <c r="G172" s="22"/>
      <c r="H172" s="22"/>
      <c r="I172" s="22"/>
      <c r="J172" s="22"/>
      <c r="K172" s="22"/>
      <c r="L172" s="22"/>
      <c r="M172" s="22"/>
      <c r="N172" s="22"/>
      <c r="O172" s="22"/>
      <c r="P172" s="22"/>
      <c r="Q172" s="23"/>
    </row>
    <row r="173" outlineLevel="1">
      <c r="A173" s="24"/>
      <c r="B173" s="22"/>
      <c r="C173" s="22"/>
      <c r="D173" s="22"/>
      <c r="E173" s="22"/>
      <c r="F173" s="22"/>
      <c r="G173" s="22"/>
      <c r="H173" s="22"/>
      <c r="I173" s="22"/>
      <c r="J173" s="22"/>
      <c r="K173" s="22"/>
      <c r="L173" s="22"/>
      <c r="M173" s="22"/>
      <c r="N173" s="22"/>
      <c r="O173" s="22"/>
      <c r="P173" s="22"/>
      <c r="Q173" s="23"/>
    </row>
    <row r="174" outlineLevel="1">
      <c r="A174" s="24"/>
      <c r="B174" s="22"/>
      <c r="C174" s="119" t="s">
        <v>107</v>
      </c>
      <c r="D174" s="120"/>
      <c r="E174" s="30"/>
      <c r="F174" s="30"/>
      <c r="G174" s="30"/>
      <c r="H174" s="30"/>
      <c r="I174" s="119"/>
      <c r="J174" s="121"/>
      <c r="K174" s="36"/>
      <c r="L174" s="120"/>
      <c r="M174" s="30"/>
      <c r="N174" s="19"/>
      <c r="O174" s="19"/>
      <c r="P174" s="22"/>
      <c r="Q174" s="23"/>
    </row>
    <row r="175" outlineLevel="1">
      <c r="A175" s="24"/>
      <c r="B175" s="22"/>
      <c r="C175" s="119" t="s">
        <v>108</v>
      </c>
      <c r="D175" s="120"/>
      <c r="E175" s="30"/>
      <c r="F175" s="30"/>
      <c r="G175" s="30"/>
      <c r="H175" s="30"/>
      <c r="I175" s="119"/>
      <c r="J175" s="121"/>
      <c r="K175" s="36"/>
      <c r="L175" s="120"/>
      <c r="M175" s="30"/>
      <c r="N175" s="27"/>
      <c r="O175" s="27"/>
      <c r="P175" s="22"/>
      <c r="Q175" s="23"/>
    </row>
    <row r="176" outlineLevel="1">
      <c r="A176" s="24"/>
      <c r="B176" s="22"/>
      <c r="C176" s="119" t="s">
        <v>109</v>
      </c>
      <c r="D176" s="120"/>
      <c r="E176" s="30"/>
      <c r="F176" s="30"/>
      <c r="G176" s="30"/>
      <c r="H176" s="30"/>
      <c r="I176" s="119"/>
      <c r="J176" s="121"/>
      <c r="K176" s="36"/>
      <c r="L176" s="120"/>
      <c r="M176" s="30"/>
      <c r="N176" s="27"/>
      <c r="O176" s="27"/>
      <c r="P176" s="22"/>
      <c r="Q176" s="23"/>
    </row>
    <row r="177" outlineLevel="1">
      <c r="A177" s="24"/>
      <c r="B177" s="22"/>
      <c r="C177" s="24"/>
      <c r="D177" s="22"/>
      <c r="E177" s="22"/>
      <c r="F177" s="22"/>
      <c r="G177" s="22"/>
      <c r="H177" s="22"/>
      <c r="I177" s="22"/>
      <c r="J177" s="22"/>
      <c r="K177" s="22"/>
      <c r="L177" s="22"/>
      <c r="M177" s="22"/>
      <c r="N177" s="22"/>
      <c r="O177" s="22"/>
      <c r="P177" s="22"/>
      <c r="Q177" s="23"/>
    </row>
    <row r="178" outlineLevel="1">
      <c r="A178" s="24"/>
      <c r="B178" s="22"/>
      <c r="D178" s="22"/>
      <c r="E178" s="22"/>
      <c r="F178" s="22"/>
      <c r="G178" s="22"/>
      <c r="H178" s="22"/>
      <c r="I178" s="22"/>
      <c r="J178" s="22"/>
      <c r="K178" s="22"/>
      <c r="L178" s="22"/>
      <c r="M178" s="22"/>
      <c r="N178" s="22"/>
      <c r="O178" s="22"/>
      <c r="P178" s="22"/>
      <c r="Q178" s="23"/>
    </row>
    <row r="179" outlineLevel="1">
      <c r="A179" s="24"/>
      <c r="B179" s="22"/>
      <c r="C179" s="30"/>
      <c r="D179" s="22"/>
      <c r="E179" s="22"/>
      <c r="F179" s="22"/>
      <c r="G179" s="22"/>
      <c r="H179" s="22"/>
      <c r="I179" s="22"/>
      <c r="J179" s="22"/>
      <c r="K179" s="22"/>
      <c r="L179" s="22"/>
      <c r="M179" s="22"/>
      <c r="N179" s="22"/>
      <c r="O179" s="22"/>
      <c r="P179" s="22"/>
      <c r="Q179" s="23"/>
    </row>
    <row r="180" outlineLevel="1">
      <c r="A180" s="24"/>
      <c r="B180" s="22"/>
      <c r="C180" s="25" t="s">
        <v>110</v>
      </c>
      <c r="D180" s="22"/>
      <c r="E180" s="22"/>
      <c r="F180" s="22"/>
      <c r="G180" s="22"/>
      <c r="H180" s="22"/>
      <c r="I180" s="22"/>
      <c r="J180" s="22"/>
      <c r="K180" s="22"/>
      <c r="L180" s="22"/>
      <c r="M180" s="22"/>
      <c r="N180" s="22"/>
      <c r="O180" s="22"/>
      <c r="P180" s="22"/>
      <c r="Q180" s="23"/>
    </row>
    <row r="181" outlineLevel="1">
      <c r="A181" s="24"/>
      <c r="B181" s="22"/>
      <c r="C181" s="22"/>
      <c r="D181" s="22"/>
      <c r="E181" s="22"/>
      <c r="F181" s="22"/>
      <c r="G181" s="22"/>
      <c r="H181" s="22"/>
      <c r="I181" s="22"/>
      <c r="J181" s="22"/>
      <c r="K181" s="22"/>
      <c r="L181" s="22"/>
      <c r="M181" s="22"/>
      <c r="N181" s="22"/>
      <c r="O181" s="22"/>
      <c r="P181" s="22"/>
      <c r="Q181" s="23"/>
    </row>
    <row r="182" outlineLevel="1">
      <c r="A182" s="24"/>
      <c r="B182" s="22"/>
      <c r="C182" s="30" t="s">
        <v>111</v>
      </c>
      <c r="D182" s="22"/>
      <c r="E182" s="22"/>
      <c r="F182" s="22"/>
      <c r="G182" s="22"/>
      <c r="H182" s="22"/>
      <c r="I182" s="22"/>
      <c r="J182" s="22"/>
      <c r="K182" s="22"/>
      <c r="L182" s="22"/>
      <c r="M182" s="22"/>
      <c r="N182" s="22"/>
      <c r="O182" s="22"/>
      <c r="P182" s="22"/>
      <c r="Q182" s="23"/>
    </row>
    <row r="183" outlineLevel="1">
      <c r="A183" s="24"/>
      <c r="B183" s="22"/>
      <c r="C183" s="42" t="s">
        <v>112</v>
      </c>
      <c r="D183" s="22"/>
      <c r="E183" s="22"/>
      <c r="F183" s="22"/>
      <c r="G183" s="22"/>
      <c r="H183" s="22"/>
      <c r="I183" s="22"/>
      <c r="J183" s="22"/>
      <c r="K183" s="22"/>
      <c r="L183" s="22"/>
      <c r="M183" s="22"/>
      <c r="N183" s="22"/>
      <c r="O183" s="22"/>
      <c r="P183" s="22"/>
      <c r="Q183" s="23"/>
    </row>
    <row r="184" outlineLevel="1">
      <c r="A184" s="24"/>
      <c r="B184" s="22"/>
      <c r="C184" s="122" t="s">
        <v>113</v>
      </c>
      <c r="D184" s="36"/>
      <c r="E184" s="122" t="s">
        <v>114</v>
      </c>
      <c r="F184" s="35"/>
      <c r="G184" s="35"/>
      <c r="H184" s="35"/>
      <c r="I184" s="35"/>
      <c r="J184" s="35"/>
      <c r="K184" s="35"/>
      <c r="L184" s="35"/>
      <c r="M184" s="35"/>
      <c r="N184" s="36"/>
      <c r="O184" s="123" t="s">
        <v>115</v>
      </c>
      <c r="P184" s="22"/>
      <c r="Q184" s="23"/>
    </row>
    <row r="185" outlineLevel="1" collapsed="1">
      <c r="A185" s="24"/>
      <c r="B185" s="22"/>
      <c r="C185" s="124" t="s">
        <v>116</v>
      </c>
      <c r="D185" s="36"/>
      <c r="E185" s="76" t="s">
        <v>117</v>
      </c>
      <c r="F185" s="35"/>
      <c r="G185" s="35"/>
      <c r="H185" s="35"/>
      <c r="I185" s="35"/>
      <c r="J185" s="35"/>
      <c r="K185" s="35"/>
      <c r="L185" s="35"/>
      <c r="M185" s="35"/>
      <c r="N185" s="36"/>
      <c r="O185" s="125"/>
      <c r="P185" s="22"/>
      <c r="Q185" s="23"/>
    </row>
    <row r="186" hidden="1" outlineLevel="2">
      <c r="A186" s="24"/>
      <c r="B186" s="22"/>
      <c r="C186" s="126" t="s">
        <v>118</v>
      </c>
      <c r="D186" s="11"/>
      <c r="E186" s="127" t="s">
        <v>119</v>
      </c>
      <c r="F186" s="128"/>
      <c r="G186" s="128"/>
      <c r="H186" s="128"/>
      <c r="I186" s="128"/>
      <c r="J186" s="128"/>
      <c r="K186" s="128"/>
      <c r="L186" s="128"/>
      <c r="M186" s="128"/>
      <c r="N186" s="129"/>
      <c r="O186" s="130"/>
      <c r="P186" s="22"/>
      <c r="Q186" s="23"/>
    </row>
    <row r="187" hidden="1" outlineLevel="2">
      <c r="A187" s="24"/>
      <c r="B187" s="22"/>
      <c r="C187" s="12"/>
      <c r="D187" s="13"/>
      <c r="E187" s="78" t="s">
        <v>120</v>
      </c>
      <c r="F187" s="131"/>
      <c r="G187" s="131"/>
      <c r="H187" s="131"/>
      <c r="I187" s="131"/>
      <c r="J187" s="131"/>
      <c r="K187" s="131"/>
      <c r="L187" s="131"/>
      <c r="M187" s="131"/>
      <c r="N187" s="132"/>
      <c r="O187" s="130"/>
      <c r="P187" s="22"/>
      <c r="Q187" s="23"/>
    </row>
    <row r="188" hidden="1" outlineLevel="2">
      <c r="A188" s="24"/>
      <c r="B188" s="22"/>
      <c r="C188" s="12"/>
      <c r="D188" s="13"/>
      <c r="E188" s="127" t="s">
        <v>121</v>
      </c>
      <c r="F188" s="128"/>
      <c r="G188" s="128"/>
      <c r="H188" s="128"/>
      <c r="I188" s="128"/>
      <c r="J188" s="128"/>
      <c r="K188" s="128"/>
      <c r="L188" s="128"/>
      <c r="M188" s="128"/>
      <c r="N188" s="129"/>
      <c r="O188" s="130"/>
      <c r="P188" s="22"/>
      <c r="Q188" s="23"/>
    </row>
    <row r="189" hidden="1" outlineLevel="2">
      <c r="A189" s="24"/>
      <c r="B189" s="22"/>
      <c r="C189" s="12"/>
      <c r="D189" s="13"/>
      <c r="E189" s="78" t="s">
        <v>122</v>
      </c>
      <c r="F189" s="131"/>
      <c r="G189" s="131"/>
      <c r="H189" s="131"/>
      <c r="I189" s="131"/>
      <c r="J189" s="131"/>
      <c r="K189" s="131"/>
      <c r="L189" s="131"/>
      <c r="M189" s="131"/>
      <c r="N189" s="132"/>
      <c r="O189" s="133"/>
      <c r="P189" s="22"/>
      <c r="Q189" s="23"/>
    </row>
    <row r="190" hidden="1" outlineLevel="2">
      <c r="A190" s="24"/>
      <c r="B190" s="22"/>
      <c r="C190" s="12"/>
      <c r="D190" s="13"/>
      <c r="E190" s="127" t="s">
        <v>123</v>
      </c>
      <c r="F190" s="128"/>
      <c r="G190" s="128"/>
      <c r="H190" s="128"/>
      <c r="I190" s="128"/>
      <c r="J190" s="128"/>
      <c r="K190" s="128"/>
      <c r="L190" s="128"/>
      <c r="M190" s="128"/>
      <c r="N190" s="129"/>
      <c r="O190" s="133"/>
      <c r="P190" s="22"/>
      <c r="Q190" s="23"/>
    </row>
    <row r="191" hidden="1" outlineLevel="2">
      <c r="A191" s="24"/>
      <c r="B191" s="22"/>
      <c r="C191" s="12"/>
      <c r="D191" s="13"/>
      <c r="E191" s="78" t="s">
        <v>124</v>
      </c>
      <c r="F191" s="131"/>
      <c r="G191" s="131"/>
      <c r="H191" s="131"/>
      <c r="I191" s="131"/>
      <c r="J191" s="131"/>
      <c r="K191" s="131"/>
      <c r="L191" s="131"/>
      <c r="M191" s="131"/>
      <c r="N191" s="132"/>
      <c r="O191" s="133"/>
      <c r="P191" s="22"/>
      <c r="Q191" s="23"/>
    </row>
    <row r="192" hidden="1" outlineLevel="2">
      <c r="A192" s="24"/>
      <c r="B192" s="22"/>
      <c r="C192" s="12"/>
      <c r="D192" s="13"/>
      <c r="E192" s="127" t="s">
        <v>125</v>
      </c>
      <c r="F192" s="35"/>
      <c r="G192" s="35"/>
      <c r="H192" s="35"/>
      <c r="I192" s="35"/>
      <c r="J192" s="35"/>
      <c r="K192" s="35"/>
      <c r="L192" s="35"/>
      <c r="M192" s="35"/>
      <c r="N192" s="35"/>
      <c r="O192" s="36"/>
      <c r="P192" s="22"/>
      <c r="Q192" s="23"/>
    </row>
    <row r="193" ht="72.75" hidden="1" customHeight="1" outlineLevel="2">
      <c r="A193" s="24"/>
      <c r="B193" s="22"/>
      <c r="C193" s="12"/>
      <c r="D193" s="13"/>
      <c r="E193" s="134"/>
      <c r="F193" s="35"/>
      <c r="G193" s="35"/>
      <c r="H193" s="35"/>
      <c r="I193" s="35"/>
      <c r="J193" s="35"/>
      <c r="K193" s="35"/>
      <c r="L193" s="35"/>
      <c r="M193" s="35"/>
      <c r="N193" s="35"/>
      <c r="O193" s="36"/>
      <c r="P193" s="22"/>
      <c r="Q193" s="23"/>
    </row>
    <row r="194" hidden="1" outlineLevel="2">
      <c r="A194" s="24"/>
      <c r="B194" s="22"/>
      <c r="C194" s="12"/>
      <c r="D194" s="13"/>
      <c r="E194" s="135" t="s">
        <v>126</v>
      </c>
      <c r="F194" s="36"/>
      <c r="G194" s="78" t="s">
        <v>127</v>
      </c>
      <c r="H194" s="35"/>
      <c r="I194" s="36"/>
      <c r="J194" s="73" t="s">
        <v>128</v>
      </c>
      <c r="K194" s="35"/>
      <c r="L194" s="35"/>
      <c r="M194" s="35"/>
      <c r="N194" s="35"/>
      <c r="O194" s="36"/>
      <c r="P194" s="22"/>
      <c r="Q194" s="23"/>
    </row>
    <row r="195" outlineLevel="1">
      <c r="A195" s="24"/>
      <c r="B195" s="22"/>
      <c r="C195" s="124" t="s">
        <v>129</v>
      </c>
      <c r="D195" s="36"/>
      <c r="E195" s="76" t="s">
        <v>130</v>
      </c>
      <c r="F195" s="35"/>
      <c r="G195" s="35"/>
      <c r="H195" s="35"/>
      <c r="I195" s="35"/>
      <c r="J195" s="35"/>
      <c r="K195" s="35"/>
      <c r="L195" s="35"/>
      <c r="M195" s="35"/>
      <c r="N195" s="36"/>
      <c r="O195" s="136"/>
      <c r="P195" s="22"/>
      <c r="Q195" s="23"/>
    </row>
    <row r="196" outlineLevel="1">
      <c r="A196" s="24"/>
      <c r="B196" s="22"/>
      <c r="C196" s="124" t="s">
        <v>131</v>
      </c>
      <c r="D196" s="36"/>
      <c r="E196" s="76" t="s">
        <v>132</v>
      </c>
      <c r="F196" s="35"/>
      <c r="G196" s="35"/>
      <c r="H196" s="35"/>
      <c r="I196" s="35"/>
      <c r="J196" s="35"/>
      <c r="K196" s="35"/>
      <c r="L196" s="35"/>
      <c r="M196" s="35"/>
      <c r="N196" s="36"/>
      <c r="O196" s="137"/>
      <c r="P196" s="22"/>
      <c r="Q196" s="23"/>
    </row>
    <row r="197" outlineLevel="1" collapsed="1">
      <c r="A197" s="24"/>
      <c r="B197" s="22"/>
      <c r="C197" s="124" t="s">
        <v>133</v>
      </c>
      <c r="D197" s="36"/>
      <c r="E197" s="76" t="s">
        <v>134</v>
      </c>
      <c r="F197" s="35"/>
      <c r="G197" s="35"/>
      <c r="H197" s="35"/>
      <c r="I197" s="35"/>
      <c r="J197" s="35"/>
      <c r="K197" s="35"/>
      <c r="L197" s="35"/>
      <c r="M197" s="35"/>
      <c r="N197" s="36"/>
      <c r="O197" s="137"/>
      <c r="P197" s="22"/>
      <c r="Q197" s="23"/>
    </row>
    <row r="198" hidden="1" outlineLevel="2">
      <c r="A198" s="24"/>
      <c r="B198" s="22"/>
      <c r="C198" s="126" t="s">
        <v>135</v>
      </c>
      <c r="D198" s="11"/>
      <c r="E198" s="127" t="s">
        <v>136</v>
      </c>
      <c r="F198" s="35"/>
      <c r="G198" s="35"/>
      <c r="H198" s="35"/>
      <c r="I198" s="35"/>
      <c r="J198" s="35"/>
      <c r="K198" s="35"/>
      <c r="L198" s="35"/>
      <c r="M198" s="35"/>
      <c r="N198" s="36"/>
      <c r="O198" s="138"/>
      <c r="P198" s="22"/>
      <c r="Q198" s="23"/>
    </row>
    <row r="199" hidden="1" outlineLevel="2">
      <c r="A199" s="24"/>
      <c r="B199" s="22"/>
      <c r="C199" s="12"/>
      <c r="D199" s="13"/>
      <c r="E199" s="78" t="s">
        <v>137</v>
      </c>
      <c r="F199" s="35"/>
      <c r="G199" s="35"/>
      <c r="H199" s="35"/>
      <c r="I199" s="35"/>
      <c r="J199" s="35"/>
      <c r="K199" s="35"/>
      <c r="L199" s="35"/>
      <c r="M199" s="35"/>
      <c r="N199" s="36"/>
      <c r="O199" s="139"/>
      <c r="P199" s="22"/>
      <c r="Q199" s="23"/>
    </row>
    <row r="200" hidden="1" outlineLevel="2">
      <c r="A200" s="24"/>
      <c r="B200" s="22"/>
      <c r="C200" s="12"/>
      <c r="D200" s="13"/>
      <c r="E200" s="127" t="s">
        <v>138</v>
      </c>
      <c r="F200" s="35"/>
      <c r="G200" s="35"/>
      <c r="H200" s="35"/>
      <c r="I200" s="35"/>
      <c r="J200" s="35"/>
      <c r="K200" s="35"/>
      <c r="L200" s="35"/>
      <c r="M200" s="35"/>
      <c r="N200" s="36"/>
      <c r="O200" s="139"/>
      <c r="P200" s="22"/>
      <c r="Q200" s="23"/>
    </row>
    <row r="201" hidden="1" outlineLevel="2">
      <c r="A201" s="24"/>
      <c r="B201" s="22"/>
      <c r="C201" s="12"/>
      <c r="D201" s="13"/>
      <c r="E201" s="78" t="s">
        <v>139</v>
      </c>
      <c r="F201" s="35"/>
      <c r="G201" s="35"/>
      <c r="H201" s="35"/>
      <c r="I201" s="35"/>
      <c r="J201" s="35"/>
      <c r="K201" s="35"/>
      <c r="L201" s="35"/>
      <c r="M201" s="35"/>
      <c r="N201" s="36"/>
      <c r="O201" s="138"/>
      <c r="P201" s="22"/>
      <c r="Q201" s="23"/>
    </row>
    <row r="202" hidden="1" outlineLevel="2">
      <c r="A202" s="24"/>
      <c r="B202" s="22"/>
      <c r="C202" s="12"/>
      <c r="D202" s="13"/>
      <c r="E202" s="127" t="s">
        <v>140</v>
      </c>
      <c r="F202" s="35"/>
      <c r="G202" s="35"/>
      <c r="H202" s="35"/>
      <c r="I202" s="35"/>
      <c r="J202" s="35"/>
      <c r="K202" s="35"/>
      <c r="L202" s="35"/>
      <c r="M202" s="35"/>
      <c r="N202" s="36"/>
      <c r="O202" s="139"/>
      <c r="P202" s="22"/>
      <c r="Q202" s="23"/>
    </row>
    <row r="203" ht="43.5" hidden="1" customHeight="1" outlineLevel="2">
      <c r="A203" s="24"/>
      <c r="B203" s="22"/>
      <c r="C203" s="14"/>
      <c r="D203" s="16"/>
      <c r="E203" s="134" t="s">
        <v>141</v>
      </c>
      <c r="F203" s="35"/>
      <c r="G203" s="35"/>
      <c r="H203" s="35"/>
      <c r="I203" s="35"/>
      <c r="J203" s="35"/>
      <c r="K203" s="35"/>
      <c r="L203" s="35"/>
      <c r="M203" s="35"/>
      <c r="N203" s="36"/>
      <c r="O203" s="139"/>
      <c r="P203" s="22"/>
      <c r="Q203" s="23"/>
    </row>
    <row r="204" outlineLevel="1">
      <c r="A204" s="24"/>
      <c r="B204" s="22"/>
      <c r="C204" s="124" t="s">
        <v>142</v>
      </c>
      <c r="D204" s="36"/>
      <c r="E204" s="76" t="s">
        <v>143</v>
      </c>
      <c r="F204" s="35"/>
      <c r="G204" s="35"/>
      <c r="H204" s="35"/>
      <c r="I204" s="35"/>
      <c r="J204" s="35"/>
      <c r="K204" s="35"/>
      <c r="L204" s="35"/>
      <c r="M204" s="35"/>
      <c r="N204" s="36"/>
      <c r="O204" s="136"/>
      <c r="P204" s="22"/>
      <c r="Q204" s="23"/>
    </row>
    <row r="205" outlineLevel="1">
      <c r="A205" s="24"/>
      <c r="B205" s="22"/>
      <c r="C205" s="124" t="s">
        <v>144</v>
      </c>
      <c r="D205" s="36"/>
      <c r="E205" s="76" t="s">
        <v>145</v>
      </c>
      <c r="F205" s="35"/>
      <c r="G205" s="35"/>
      <c r="H205" s="35"/>
      <c r="I205" s="35"/>
      <c r="J205" s="35"/>
      <c r="K205" s="35"/>
      <c r="L205" s="35"/>
      <c r="M205" s="35"/>
      <c r="N205" s="36"/>
      <c r="O205" s="136"/>
      <c r="P205" s="22"/>
      <c r="Q205" s="23"/>
    </row>
    <row r="206" outlineLevel="1">
      <c r="A206" s="24"/>
      <c r="B206" s="22"/>
      <c r="C206" s="124" t="s">
        <v>146</v>
      </c>
      <c r="D206" s="36"/>
      <c r="E206" s="76" t="s">
        <v>147</v>
      </c>
      <c r="F206" s="35"/>
      <c r="G206" s="35"/>
      <c r="H206" s="35"/>
      <c r="I206" s="35"/>
      <c r="J206" s="35"/>
      <c r="K206" s="35"/>
      <c r="L206" s="35"/>
      <c r="M206" s="35"/>
      <c r="N206" s="36"/>
      <c r="O206" s="125"/>
      <c r="P206" s="22"/>
      <c r="Q206" s="23"/>
    </row>
    <row r="207" outlineLevel="1">
      <c r="A207" s="24"/>
      <c r="B207" s="22"/>
      <c r="C207" s="22"/>
      <c r="D207" s="22"/>
      <c r="E207" s="22"/>
      <c r="F207" s="22"/>
      <c r="G207" s="22"/>
      <c r="H207" s="22"/>
      <c r="I207" s="22"/>
      <c r="J207" s="22"/>
      <c r="K207" s="22"/>
      <c r="L207" s="22"/>
      <c r="M207" s="22"/>
      <c r="N207" s="22"/>
      <c r="O207" s="22"/>
      <c r="P207" s="22"/>
      <c r="Q207" s="23"/>
    </row>
    <row r="208" outlineLevel="1">
      <c r="A208" s="24"/>
      <c r="B208" s="22"/>
      <c r="C208" s="22"/>
      <c r="D208" s="29"/>
      <c r="E208" s="29"/>
      <c r="F208" s="29"/>
      <c r="G208" s="29"/>
      <c r="H208" s="29"/>
      <c r="I208" s="29"/>
      <c r="J208" s="22"/>
      <c r="K208" s="29"/>
      <c r="L208" s="29"/>
      <c r="M208" s="29"/>
      <c r="N208" s="29"/>
      <c r="O208" s="22"/>
      <c r="P208" s="22"/>
      <c r="Q208" s="23"/>
    </row>
    <row r="209" outlineLevel="1">
      <c r="A209" s="24"/>
      <c r="B209" s="22"/>
      <c r="C209" s="22"/>
      <c r="D209" s="29"/>
      <c r="E209" s="29"/>
      <c r="F209" s="22"/>
      <c r="G209" s="22"/>
      <c r="H209" s="29"/>
      <c r="I209" s="22"/>
      <c r="J209" s="22"/>
      <c r="K209" s="22"/>
      <c r="L209" s="22"/>
      <c r="M209" s="22"/>
      <c r="N209" s="22"/>
      <c r="O209" s="22"/>
      <c r="P209" s="22"/>
      <c r="Q209" s="23"/>
    </row>
    <row r="210" outlineLevel="1">
      <c r="A210" s="24"/>
      <c r="B210" s="22"/>
      <c r="C210" s="140" t="s">
        <v>148</v>
      </c>
      <c r="D210" s="22"/>
      <c r="E210" s="22"/>
      <c r="F210" s="22"/>
      <c r="G210" s="22"/>
      <c r="H210" s="22"/>
      <c r="I210" s="22"/>
      <c r="J210" s="22"/>
      <c r="K210" s="22"/>
      <c r="L210" s="22"/>
      <c r="M210" s="22"/>
      <c r="N210" s="22"/>
      <c r="O210" s="22"/>
      <c r="P210" s="22"/>
      <c r="Q210" s="23"/>
    </row>
    <row r="211" outlineLevel="1">
      <c r="A211" s="24"/>
      <c r="B211" s="22"/>
      <c r="C211" s="29" t="s">
        <v>149</v>
      </c>
      <c r="D211" s="22"/>
      <c r="E211" s="22"/>
      <c r="F211" s="22"/>
      <c r="G211" s="22"/>
      <c r="H211" s="22"/>
      <c r="I211" s="22"/>
      <c r="J211" s="22"/>
      <c r="K211" s="22"/>
      <c r="L211" s="22"/>
      <c r="M211" s="22"/>
      <c r="N211" s="22"/>
      <c r="O211" s="22"/>
      <c r="P211" s="22"/>
      <c r="Q211" s="23"/>
    </row>
    <row r="212" outlineLevel="1">
      <c r="A212" s="24"/>
      <c r="B212" s="22"/>
      <c r="C212" s="22"/>
      <c r="D212" s="22"/>
      <c r="E212" s="22"/>
      <c r="F212" s="22"/>
      <c r="G212" s="22"/>
      <c r="H212" s="22"/>
      <c r="I212" s="22"/>
      <c r="J212" s="22"/>
      <c r="K212" s="22"/>
      <c r="L212" s="22"/>
      <c r="M212" s="22"/>
      <c r="N212" s="22"/>
      <c r="P212" s="22"/>
      <c r="Q212" s="23"/>
    </row>
    <row r="213">
      <c r="A213" s="24"/>
      <c r="B213" s="22"/>
      <c r="C213" s="22"/>
      <c r="D213" s="22"/>
      <c r="E213" s="22"/>
      <c r="F213" s="22"/>
      <c r="G213" s="22"/>
      <c r="H213" s="22"/>
      <c r="I213" s="22"/>
      <c r="J213" s="22"/>
      <c r="K213" s="22"/>
      <c r="L213" s="22"/>
      <c r="M213" s="22"/>
      <c r="N213" s="22"/>
      <c r="O213" s="22"/>
      <c r="P213" s="22"/>
      <c r="Q213" s="23"/>
    </row>
    <row r="214">
      <c r="A214" s="24"/>
      <c r="B214" s="22"/>
      <c r="C214" s="22"/>
      <c r="D214" s="22"/>
      <c r="E214" s="22"/>
      <c r="F214" s="22"/>
      <c r="G214" s="22"/>
      <c r="H214" s="22"/>
      <c r="I214" s="22"/>
      <c r="J214" s="22"/>
      <c r="K214" s="22"/>
      <c r="L214" s="22"/>
      <c r="M214" s="22"/>
      <c r="N214" s="22"/>
      <c r="O214" s="22"/>
      <c r="P214" s="22"/>
      <c r="Q214" s="141"/>
    </row>
  </sheetData>
  <mergeCells count="248">
    <mergeCell ref="E192:O192"/>
    <mergeCell ref="E193:O193"/>
    <mergeCell ref="J194:O194"/>
    <mergeCell ref="E185:N185"/>
    <mergeCell ref="E186:N186"/>
    <mergeCell ref="E187:N187"/>
    <mergeCell ref="E188:N188"/>
    <mergeCell ref="E189:N189"/>
    <mergeCell ref="E190:N190"/>
    <mergeCell ref="E191:N191"/>
    <mergeCell ref="G144:J144"/>
    <mergeCell ref="G145:J145"/>
    <mergeCell ref="G146:J146"/>
    <mergeCell ref="G147:J147"/>
    <mergeCell ref="C152:K152"/>
    <mergeCell ref="D133:E133"/>
    <mergeCell ref="F133:G133"/>
    <mergeCell ref="H133:I133"/>
    <mergeCell ref="J133:K133"/>
    <mergeCell ref="B137:B138"/>
    <mergeCell ref="C137:H138"/>
    <mergeCell ref="G143:J143"/>
    <mergeCell ref="G158:G160"/>
    <mergeCell ref="H158:H160"/>
    <mergeCell ref="I158:I160"/>
    <mergeCell ref="J158:J160"/>
    <mergeCell ref="K158:K160"/>
    <mergeCell ref="C143:E143"/>
    <mergeCell ref="C144:E144"/>
    <mergeCell ref="C145:E145"/>
    <mergeCell ref="C146:E146"/>
    <mergeCell ref="C147:E147"/>
    <mergeCell ref="C158:E160"/>
    <mergeCell ref="F158:F160"/>
    <mergeCell ref="C161:E161"/>
    <mergeCell ref="C162:E162"/>
    <mergeCell ref="C163:E163"/>
    <mergeCell ref="C164:E164"/>
    <mergeCell ref="C165:E165"/>
    <mergeCell ref="C166:E166"/>
    <mergeCell ref="C167:E167"/>
    <mergeCell ref="C168:E168"/>
    <mergeCell ref="C169:E169"/>
    <mergeCell ref="C170:E170"/>
    <mergeCell ref="J174:K174"/>
    <mergeCell ref="J175:K175"/>
    <mergeCell ref="J176:K176"/>
    <mergeCell ref="E184:N184"/>
    <mergeCell ref="C184:D184"/>
    <mergeCell ref="C185:D185"/>
    <mergeCell ref="C186:D194"/>
    <mergeCell ref="E194:F194"/>
    <mergeCell ref="G194:I194"/>
    <mergeCell ref="C195:D195"/>
    <mergeCell ref="E195:N195"/>
    <mergeCell ref="H84:J84"/>
    <mergeCell ref="H85:J85"/>
    <mergeCell ref="H81:J81"/>
    <mergeCell ref="M81:N81"/>
    <mergeCell ref="H82:J82"/>
    <mergeCell ref="M82:N82"/>
    <mergeCell ref="H83:J83"/>
    <mergeCell ref="M83:N83"/>
    <mergeCell ref="M84:N84"/>
    <mergeCell ref="M85:N85"/>
    <mergeCell ref="C11:G13"/>
    <mergeCell ref="C17:E18"/>
    <mergeCell ref="B45:B46"/>
    <mergeCell ref="C45:E46"/>
    <mergeCell ref="C52:E52"/>
    <mergeCell ref="C53:E53"/>
    <mergeCell ref="C54:E54"/>
    <mergeCell ref="G58:I58"/>
    <mergeCell ref="G59:I59"/>
    <mergeCell ref="C55:E55"/>
    <mergeCell ref="C56:E56"/>
    <mergeCell ref="G56:I56"/>
    <mergeCell ref="C57:E57"/>
    <mergeCell ref="G57:I57"/>
    <mergeCell ref="C58:E58"/>
    <mergeCell ref="C59:E59"/>
    <mergeCell ref="C60:E60"/>
    <mergeCell ref="C61:E61"/>
    <mergeCell ref="C62:E62"/>
    <mergeCell ref="C66:I67"/>
    <mergeCell ref="B71:B72"/>
    <mergeCell ref="C71:H72"/>
    <mergeCell ref="N76:O76"/>
    <mergeCell ref="M78:N79"/>
    <mergeCell ref="M80:N80"/>
    <mergeCell ref="F78:F79"/>
    <mergeCell ref="G78:G79"/>
    <mergeCell ref="H78:J79"/>
    <mergeCell ref="K78:K79"/>
    <mergeCell ref="L78:L79"/>
    <mergeCell ref="O78:O79"/>
    <mergeCell ref="H80:J80"/>
    <mergeCell ref="M88:N88"/>
    <mergeCell ref="M89:N89"/>
    <mergeCell ref="C86:E86"/>
    <mergeCell ref="H86:J86"/>
    <mergeCell ref="M86:N86"/>
    <mergeCell ref="H87:J87"/>
    <mergeCell ref="M87:N87"/>
    <mergeCell ref="H88:J88"/>
    <mergeCell ref="H89:J89"/>
    <mergeCell ref="F112:G112"/>
    <mergeCell ref="F113:G113"/>
    <mergeCell ref="F102:G102"/>
    <mergeCell ref="F103:G103"/>
    <mergeCell ref="F104:G104"/>
    <mergeCell ref="F105:G105"/>
    <mergeCell ref="F106:G106"/>
    <mergeCell ref="F110:G111"/>
    <mergeCell ref="H110:H111"/>
    <mergeCell ref="O115:P115"/>
    <mergeCell ref="O116:P116"/>
    <mergeCell ref="L112:M112"/>
    <mergeCell ref="L113:M113"/>
    <mergeCell ref="O113:P113"/>
    <mergeCell ref="L114:M114"/>
    <mergeCell ref="O114:P114"/>
    <mergeCell ref="L115:M115"/>
    <mergeCell ref="L116:M116"/>
    <mergeCell ref="L121:M121"/>
    <mergeCell ref="L122:M122"/>
    <mergeCell ref="L123:M123"/>
    <mergeCell ref="L124:M124"/>
    <mergeCell ref="L125:M125"/>
    <mergeCell ref="L126:M126"/>
    <mergeCell ref="O122:P122"/>
    <mergeCell ref="O123:P123"/>
    <mergeCell ref="O124:P124"/>
    <mergeCell ref="O125:P125"/>
    <mergeCell ref="O126:P126"/>
    <mergeCell ref="L118:M118"/>
    <mergeCell ref="O118:P118"/>
    <mergeCell ref="L119:M119"/>
    <mergeCell ref="O119:P119"/>
    <mergeCell ref="L120:M120"/>
    <mergeCell ref="O120:P120"/>
    <mergeCell ref="O121:P121"/>
    <mergeCell ref="C78:E79"/>
    <mergeCell ref="C80:E80"/>
    <mergeCell ref="C81:E81"/>
    <mergeCell ref="C82:E82"/>
    <mergeCell ref="C83:E83"/>
    <mergeCell ref="C84:E84"/>
    <mergeCell ref="C85:E85"/>
    <mergeCell ref="C87:E87"/>
    <mergeCell ref="C88:E88"/>
    <mergeCell ref="C89:E89"/>
    <mergeCell ref="C93:C94"/>
    <mergeCell ref="F93:G94"/>
    <mergeCell ref="H93:H94"/>
    <mergeCell ref="I93:I94"/>
    <mergeCell ref="D93:E94"/>
    <mergeCell ref="D95:E95"/>
    <mergeCell ref="F95:G95"/>
    <mergeCell ref="D96:E96"/>
    <mergeCell ref="F96:G96"/>
    <mergeCell ref="D97:E97"/>
    <mergeCell ref="F97:G97"/>
    <mergeCell ref="D98:E98"/>
    <mergeCell ref="F98:G98"/>
    <mergeCell ref="D99:E99"/>
    <mergeCell ref="F99:G99"/>
    <mergeCell ref="D100:E100"/>
    <mergeCell ref="F100:G100"/>
    <mergeCell ref="F101:G101"/>
    <mergeCell ref="D101:E101"/>
    <mergeCell ref="D102:E102"/>
    <mergeCell ref="D103:E103"/>
    <mergeCell ref="D104:E104"/>
    <mergeCell ref="D105:E105"/>
    <mergeCell ref="D106:E106"/>
    <mergeCell ref="C110:C111"/>
    <mergeCell ref="I110:I111"/>
    <mergeCell ref="J110:J111"/>
    <mergeCell ref="K110:K111"/>
    <mergeCell ref="L110:M111"/>
    <mergeCell ref="N110:N111"/>
    <mergeCell ref="O110:P111"/>
    <mergeCell ref="O112:P112"/>
    <mergeCell ref="L117:M117"/>
    <mergeCell ref="O117:P117"/>
    <mergeCell ref="D110:E111"/>
    <mergeCell ref="D112:E112"/>
    <mergeCell ref="D113:E113"/>
    <mergeCell ref="D114:E114"/>
    <mergeCell ref="F114:G114"/>
    <mergeCell ref="D115:E115"/>
    <mergeCell ref="F115:G115"/>
    <mergeCell ref="F120:G120"/>
    <mergeCell ref="F121:G121"/>
    <mergeCell ref="F122:G122"/>
    <mergeCell ref="F123:G123"/>
    <mergeCell ref="F124:G124"/>
    <mergeCell ref="F125:G125"/>
    <mergeCell ref="F126:G126"/>
    <mergeCell ref="F129:G129"/>
    <mergeCell ref="D116:E116"/>
    <mergeCell ref="F116:G116"/>
    <mergeCell ref="D117:E117"/>
    <mergeCell ref="F117:G117"/>
    <mergeCell ref="D118:E118"/>
    <mergeCell ref="F118:G118"/>
    <mergeCell ref="F119:G119"/>
    <mergeCell ref="D119:E119"/>
    <mergeCell ref="D120:E120"/>
    <mergeCell ref="D121:E121"/>
    <mergeCell ref="D122:E122"/>
    <mergeCell ref="D123:E123"/>
    <mergeCell ref="D124:E124"/>
    <mergeCell ref="D125:E125"/>
    <mergeCell ref="D126:E126"/>
    <mergeCell ref="D129:E129"/>
    <mergeCell ref="H129:I129"/>
    <mergeCell ref="J129:K129"/>
    <mergeCell ref="F130:G130"/>
    <mergeCell ref="H130:I130"/>
    <mergeCell ref="J130:K130"/>
    <mergeCell ref="H132:I132"/>
    <mergeCell ref="J132:K132"/>
    <mergeCell ref="D130:E130"/>
    <mergeCell ref="D131:E131"/>
    <mergeCell ref="F131:G131"/>
    <mergeCell ref="H131:I131"/>
    <mergeCell ref="J131:K131"/>
    <mergeCell ref="D132:E132"/>
    <mergeCell ref="F132:G132"/>
    <mergeCell ref="E200:N200"/>
    <mergeCell ref="E201:N201"/>
    <mergeCell ref="E202:N202"/>
    <mergeCell ref="E203:N203"/>
    <mergeCell ref="C204:D204"/>
    <mergeCell ref="E204:N204"/>
    <mergeCell ref="C205:D205"/>
    <mergeCell ref="E205:N205"/>
    <mergeCell ref="C206:D206"/>
    <mergeCell ref="E206:N206"/>
    <mergeCell ref="C196:D196"/>
    <mergeCell ref="E196:N196"/>
    <mergeCell ref="C197:D197"/>
    <mergeCell ref="E197:N197"/>
    <mergeCell ref="C198:D203"/>
    <mergeCell ref="E198:N198"/>
    <mergeCell ref="E199:N199"/>
  </mergeCells>
  <dataValidations>
    <dataValidation type="list" allowBlank="1" showErrorMessage="1" sqref="O112:O126 C161:C170">
      <formula1>'🤝 Client information'!$C$80:$E$89</formula1>
    </dataValidation>
    <dataValidation type="list" allowBlank="1" showErrorMessage="1" sqref="H95:H106 H112:H126">
      <formula1>"HR manager,Payroll manager,Comp &amp; Ben manager,Fleet manager,Finance &amp; Accounting,Operations"</formula1>
    </dataValidation>
    <dataValidation type="list" allowBlank="1" showErrorMessage="1" sqref="K112:K126 N112:N126">
      <formula1>"Yes,No"</formula1>
    </dataValidation>
    <dataValidation type="list" allowBlank="1" showErrorMessage="1" sqref="O189:O191">
      <formula1>"Yes,No"</formula1>
    </dataValidation>
    <dataValidation type="list" allowBlank="1" showErrorMessage="1" sqref="J174:J176">
      <formula1>"Yes - completed,Yes - ongoing,No - interested,No - not interested"</formula1>
    </dataValidation>
    <dataValidation type="list" allowBlank="1" showErrorMessage="1" sqref="O201">
      <formula1>"Last payslip (default),End of year"</formula1>
    </dataValidation>
    <dataValidation type="list" allowBlank="1" showErrorMessage="1" sqref="H130:H133">
      <formula1>"Customer Success Manager,Sales contact person,Project manager,Finance team"</formula1>
    </dataValidation>
    <dataValidation type="list" allowBlank="1" showErrorMessage="1" sqref="C130:C133">
      <formula1>"Hélène,Maroussia,Steve,Maxim,Charlie,Denis,Jerome,Victor,Thaïs"</formula1>
    </dataValidation>
    <dataValidation type="list" allowBlank="1" showErrorMessage="1" sqref="J112:J126">
      <formula1>"Male,Female"</formula1>
    </dataValidation>
    <dataValidation type="list" allowBlank="1" showErrorMessage="1" sqref="O197">
      <formula1>"Yes (custom report),No (standard report),I want more info"</formula1>
    </dataValidation>
    <dataValidation type="list" allowBlank="1" showErrorMessage="1" sqref="F143:F147 K143:K147 K161:K170">
      <formula1>"Yes,No"</formula1>
    </dataValidation>
    <dataValidation type="list" allowBlank="1" showErrorMessage="1" sqref="O196">
      <formula1>"Yes (sFTP),Yes (API),No,I want more info"</formula1>
    </dataValidation>
    <dataValidation type="list" allowBlank="1" showErrorMessage="1" sqref="I112:I126">
      <formula1>"NL,FR,EN"</formula1>
    </dataValidation>
    <dataValidation type="list" allowBlank="1" showErrorMessage="1" sqref="L112:L126">
      <formula1>'🤝 Client information'!$C$80:$E$89</formula1>
    </dataValidation>
    <dataValidation type="list" allowBlank="1" showErrorMessage="1" sqref="O13">
      <formula1>"Pending client,Pending Skipr,Signed &amp; shared"</formula1>
    </dataValidation>
    <dataValidation type="list" allowBlank="1" showErrorMessage="1" sqref="O185 O195 O204:O206">
      <formula1>"Yes,No,I want more info"</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2"/>
  <cols>
    <col customWidth="1" min="1" max="1" width="3.0"/>
    <col customWidth="1" min="4" max="4" width="3.75"/>
    <col customWidth="1" min="14" max="15" width="3.25"/>
    <col hidden="1" min="19" max="23" width="12.63"/>
  </cols>
  <sheetData>
    <row r="1">
      <c r="A1" s="1"/>
      <c r="B1" s="1"/>
      <c r="C1" s="1"/>
      <c r="D1" s="1"/>
      <c r="E1" s="1"/>
      <c r="F1" s="1"/>
      <c r="G1" s="1"/>
      <c r="H1" s="1"/>
      <c r="I1" s="1"/>
      <c r="J1" s="1"/>
      <c r="K1" s="1"/>
      <c r="L1" s="1"/>
      <c r="M1" s="1"/>
      <c r="N1" s="1"/>
      <c r="O1" s="1"/>
      <c r="P1" s="1"/>
      <c r="Q1" s="1"/>
      <c r="R1" s="1"/>
      <c r="S1" s="1"/>
      <c r="T1" s="1"/>
      <c r="U1" s="1"/>
      <c r="V1" s="1"/>
      <c r="W1" s="1"/>
    </row>
    <row r="2">
      <c r="A2" s="1"/>
      <c r="B2" s="1"/>
      <c r="C2" s="1"/>
      <c r="D2" s="1"/>
      <c r="E2" s="1"/>
      <c r="F2" s="1"/>
      <c r="G2" s="1"/>
      <c r="H2" s="1"/>
      <c r="I2" s="1"/>
      <c r="J2" s="1"/>
      <c r="K2" s="1"/>
      <c r="L2" s="1"/>
      <c r="M2" s="1"/>
      <c r="N2" s="1"/>
      <c r="O2" s="1"/>
      <c r="P2" s="1"/>
      <c r="Q2" s="1"/>
      <c r="R2" s="1"/>
      <c r="S2" s="1"/>
      <c r="T2" s="1"/>
      <c r="U2" s="1"/>
      <c r="V2" s="1"/>
      <c r="W2" s="1"/>
    </row>
    <row r="3">
      <c r="A3" s="1"/>
      <c r="B3" s="1"/>
      <c r="C3" s="1"/>
      <c r="D3" s="1"/>
      <c r="E3" s="1"/>
      <c r="F3" s="1"/>
      <c r="G3" s="1"/>
      <c r="H3" s="1"/>
      <c r="I3" s="1"/>
      <c r="J3" s="1"/>
      <c r="K3" s="1"/>
      <c r="L3" s="1"/>
      <c r="M3" s="1"/>
      <c r="N3" s="1"/>
      <c r="O3" s="1"/>
      <c r="P3" s="1"/>
      <c r="Q3" s="1"/>
      <c r="R3" s="1"/>
      <c r="S3" s="1"/>
      <c r="T3" s="1"/>
      <c r="U3" s="1"/>
      <c r="V3" s="1"/>
      <c r="W3" s="1"/>
    </row>
    <row r="4">
      <c r="A4" s="1"/>
      <c r="B4" s="1"/>
      <c r="C4" s="1"/>
      <c r="D4" s="1"/>
      <c r="E4" s="1"/>
      <c r="F4" s="1"/>
      <c r="G4" s="1"/>
      <c r="H4" s="1"/>
      <c r="I4" s="1"/>
      <c r="J4" s="1"/>
      <c r="K4" s="1"/>
      <c r="L4" s="1"/>
      <c r="M4" s="1"/>
      <c r="N4" s="1"/>
      <c r="O4" s="1"/>
      <c r="P4" s="1"/>
      <c r="Q4" s="1"/>
      <c r="R4" s="1"/>
      <c r="S4" s="1"/>
      <c r="T4" s="1"/>
      <c r="U4" s="1"/>
      <c r="V4" s="1"/>
      <c r="W4" s="1"/>
    </row>
    <row r="5">
      <c r="A5" s="1"/>
      <c r="B5" s="1"/>
      <c r="C5" s="1"/>
      <c r="D5" s="1"/>
      <c r="E5" s="1"/>
      <c r="F5" s="1"/>
      <c r="G5" s="1"/>
      <c r="H5" s="1"/>
      <c r="I5" s="1"/>
      <c r="J5" s="1"/>
      <c r="K5" s="1"/>
      <c r="L5" s="1"/>
      <c r="M5" s="1"/>
      <c r="N5" s="1"/>
      <c r="O5" s="1"/>
      <c r="P5" s="1"/>
      <c r="Q5" s="1"/>
      <c r="R5" s="1"/>
      <c r="S5" s="1"/>
      <c r="T5" s="1"/>
      <c r="U5" s="1"/>
      <c r="V5" s="1"/>
      <c r="W5" s="1"/>
    </row>
    <row r="6">
      <c r="A6" s="1"/>
      <c r="B6" s="1"/>
      <c r="C6" s="1"/>
      <c r="D6" s="1"/>
      <c r="E6" s="1"/>
      <c r="F6" s="1"/>
      <c r="G6" s="1"/>
      <c r="H6" s="1"/>
      <c r="I6" s="1"/>
      <c r="J6" s="1"/>
      <c r="K6" s="1"/>
      <c r="L6" s="1"/>
      <c r="M6" s="1"/>
      <c r="N6" s="1"/>
      <c r="O6" s="1"/>
      <c r="P6" s="1"/>
      <c r="Q6" s="1"/>
      <c r="R6" s="1"/>
      <c r="S6" s="1"/>
      <c r="T6" s="1"/>
      <c r="U6" s="1"/>
      <c r="V6" s="1"/>
      <c r="W6" s="1"/>
    </row>
    <row r="7">
      <c r="A7" s="1"/>
      <c r="B7" s="1"/>
      <c r="C7" s="1"/>
      <c r="D7" s="1"/>
      <c r="E7" s="1"/>
      <c r="F7" s="1"/>
      <c r="G7" s="1"/>
      <c r="H7" s="1"/>
      <c r="I7" s="1"/>
      <c r="J7" s="1"/>
      <c r="K7" s="1"/>
      <c r="L7" s="1"/>
      <c r="M7" s="1"/>
      <c r="N7" s="1"/>
      <c r="O7" s="1"/>
      <c r="P7" s="1"/>
      <c r="Q7" s="1"/>
      <c r="R7" s="1"/>
      <c r="S7" s="1"/>
      <c r="T7" s="1"/>
      <c r="U7" s="1"/>
      <c r="V7" s="1"/>
      <c r="W7" s="1"/>
    </row>
    <row r="8">
      <c r="A8" s="4"/>
      <c r="B8" s="4"/>
      <c r="C8" s="4"/>
      <c r="D8" s="4"/>
      <c r="E8" s="4"/>
      <c r="F8" s="4"/>
      <c r="G8" s="4"/>
      <c r="H8" s="4"/>
      <c r="I8" s="4"/>
      <c r="J8" s="4"/>
      <c r="K8" s="4"/>
      <c r="L8" s="4"/>
      <c r="M8" s="4"/>
      <c r="N8" s="4"/>
      <c r="O8" s="4"/>
      <c r="P8" s="5"/>
      <c r="Q8" s="5"/>
      <c r="R8" s="5"/>
      <c r="S8" s="5"/>
      <c r="T8" s="5"/>
      <c r="U8" s="7"/>
      <c r="V8" s="7"/>
      <c r="W8" s="7"/>
    </row>
    <row r="9">
      <c r="A9" s="5"/>
      <c r="B9" s="5"/>
      <c r="C9" s="142"/>
      <c r="D9" s="5"/>
      <c r="E9" s="5"/>
      <c r="F9" s="5"/>
      <c r="G9" s="5"/>
      <c r="H9" s="5"/>
      <c r="I9" s="5"/>
      <c r="J9" s="5"/>
      <c r="K9" s="5"/>
      <c r="L9" s="5"/>
      <c r="M9" s="5"/>
      <c r="N9" s="5"/>
      <c r="O9" s="5"/>
      <c r="P9" s="5"/>
      <c r="Q9" s="5"/>
      <c r="R9" s="5"/>
      <c r="S9" s="5"/>
      <c r="T9" s="5"/>
      <c r="U9" s="7"/>
      <c r="V9" s="7"/>
      <c r="W9" s="7"/>
    </row>
    <row r="10">
      <c r="A10" s="5"/>
      <c r="B10" s="5"/>
      <c r="C10" s="142"/>
      <c r="D10" s="5"/>
      <c r="E10" s="5"/>
      <c r="F10" s="5"/>
      <c r="G10" s="5"/>
      <c r="H10" s="5"/>
      <c r="I10" s="5"/>
      <c r="J10" s="5"/>
      <c r="K10" s="5"/>
      <c r="L10" s="5"/>
      <c r="M10" s="5"/>
      <c r="N10" s="5"/>
      <c r="O10" s="5"/>
      <c r="P10" s="5"/>
      <c r="Q10" s="5"/>
      <c r="R10" s="5"/>
      <c r="S10" s="5"/>
      <c r="T10" s="5"/>
      <c r="U10" s="7"/>
      <c r="V10" s="7"/>
      <c r="W10" s="7"/>
    </row>
    <row r="11">
      <c r="A11" s="5"/>
      <c r="B11" s="5"/>
      <c r="C11" s="5"/>
      <c r="D11" s="5"/>
      <c r="E11" s="5"/>
      <c r="F11" s="5"/>
      <c r="G11" s="5"/>
      <c r="H11" s="5"/>
      <c r="I11" s="5"/>
      <c r="J11" s="5"/>
      <c r="K11" s="5"/>
      <c r="L11" s="5"/>
      <c r="M11" s="5"/>
      <c r="N11" s="5"/>
      <c r="O11" s="5"/>
      <c r="P11" s="5"/>
      <c r="Q11" s="5"/>
      <c r="R11" s="5"/>
      <c r="S11" s="5"/>
      <c r="T11" s="5"/>
      <c r="U11" s="7"/>
      <c r="V11" s="7"/>
      <c r="W11" s="7"/>
    </row>
    <row r="12" ht="15.75" customHeight="1">
      <c r="A12" s="5"/>
      <c r="B12" s="5"/>
      <c r="C12" s="143" t="s">
        <v>150</v>
      </c>
      <c r="D12" s="5"/>
      <c r="E12" s="20" t="s">
        <v>151</v>
      </c>
      <c r="F12" s="10"/>
      <c r="G12" s="10"/>
      <c r="H12" s="10"/>
      <c r="I12" s="10"/>
      <c r="J12" s="11"/>
      <c r="K12" s="5"/>
      <c r="L12" s="5"/>
      <c r="M12" s="22"/>
      <c r="N12" s="5"/>
      <c r="O12" s="5"/>
      <c r="P12" s="5"/>
      <c r="Q12" s="5"/>
      <c r="R12" s="5"/>
      <c r="S12" s="5"/>
      <c r="T12" s="5"/>
      <c r="U12" s="7"/>
      <c r="V12" s="7"/>
      <c r="W12" s="7"/>
    </row>
    <row r="13" ht="18.75" customHeight="1">
      <c r="A13" s="22"/>
      <c r="B13" s="22"/>
      <c r="C13" s="48"/>
      <c r="D13" s="22"/>
      <c r="E13" s="14"/>
      <c r="F13" s="15"/>
      <c r="G13" s="15"/>
      <c r="H13" s="15"/>
      <c r="I13" s="15"/>
      <c r="J13" s="16"/>
      <c r="K13" s="22"/>
      <c r="L13" s="22"/>
      <c r="N13" s="22"/>
      <c r="O13" s="22"/>
      <c r="P13" s="22"/>
      <c r="Q13" s="22"/>
      <c r="R13" s="22"/>
      <c r="S13" s="22"/>
      <c r="T13" s="22"/>
      <c r="U13" s="23"/>
      <c r="V13" s="23"/>
      <c r="W13" s="23"/>
    </row>
    <row r="14">
      <c r="A14" s="22"/>
      <c r="B14" s="22"/>
      <c r="C14" s="22"/>
      <c r="D14" s="22"/>
      <c r="E14" s="22"/>
      <c r="F14" s="22"/>
      <c r="G14" s="22"/>
      <c r="H14" s="22"/>
      <c r="I14" s="22"/>
      <c r="J14" s="22"/>
      <c r="K14" s="22"/>
      <c r="L14" s="22"/>
      <c r="M14" s="22"/>
      <c r="N14" s="22"/>
      <c r="O14" s="22"/>
      <c r="P14" s="22"/>
      <c r="Q14" s="22"/>
      <c r="R14" s="22"/>
      <c r="S14" s="22"/>
      <c r="T14" s="22"/>
      <c r="U14" s="23"/>
      <c r="V14" s="23"/>
      <c r="W14" s="23"/>
    </row>
    <row r="15">
      <c r="A15" s="22"/>
      <c r="B15" s="22"/>
      <c r="C15" s="22"/>
      <c r="D15" s="22"/>
      <c r="E15" s="22"/>
      <c r="F15" s="22"/>
      <c r="G15" s="22"/>
      <c r="H15" s="22"/>
      <c r="I15" s="22"/>
      <c r="J15" s="22"/>
      <c r="K15" s="22"/>
      <c r="L15" s="22"/>
      <c r="M15" s="22"/>
      <c r="N15" s="22"/>
      <c r="O15" s="22"/>
      <c r="P15" s="22"/>
      <c r="Q15" s="22"/>
      <c r="R15" s="22"/>
      <c r="S15" s="22"/>
      <c r="T15" s="22"/>
      <c r="U15" s="23"/>
      <c r="V15" s="23"/>
      <c r="W15" s="23"/>
    </row>
    <row r="16">
      <c r="A16" s="22"/>
      <c r="B16" s="22"/>
      <c r="C16" s="22"/>
      <c r="D16" s="22"/>
      <c r="E16" s="22"/>
      <c r="F16" s="22"/>
      <c r="G16" s="22"/>
      <c r="H16" s="22"/>
      <c r="I16" s="22"/>
      <c r="J16" s="22"/>
      <c r="K16" s="22"/>
      <c r="L16" s="22"/>
      <c r="M16" s="22"/>
      <c r="N16" s="22"/>
      <c r="O16" s="22"/>
      <c r="P16" s="22"/>
      <c r="Q16" s="22"/>
      <c r="R16" s="22"/>
      <c r="S16" s="22"/>
      <c r="T16" s="22"/>
      <c r="U16" s="23"/>
      <c r="V16" s="23"/>
      <c r="W16" s="23"/>
    </row>
    <row r="17">
      <c r="A17" s="22"/>
      <c r="B17" s="22"/>
      <c r="C17" s="22"/>
      <c r="D17" s="22"/>
      <c r="E17" s="144" t="s">
        <v>152</v>
      </c>
      <c r="F17" s="10"/>
      <c r="G17" s="10"/>
      <c r="H17" s="10"/>
      <c r="I17" s="10"/>
      <c r="J17" s="11"/>
      <c r="K17" s="22"/>
      <c r="L17" s="22"/>
      <c r="M17" s="22"/>
      <c r="N17" s="22"/>
      <c r="O17" s="22"/>
      <c r="P17" s="22"/>
      <c r="Q17" s="22"/>
      <c r="R17" s="22"/>
      <c r="S17" s="22"/>
      <c r="T17" s="22"/>
      <c r="U17" s="23"/>
      <c r="V17" s="23"/>
      <c r="W17" s="23"/>
    </row>
    <row r="18" ht="17.25" customHeight="1">
      <c r="A18" s="22"/>
      <c r="B18" s="22"/>
      <c r="C18" s="22"/>
      <c r="D18" s="22"/>
      <c r="E18" s="14"/>
      <c r="F18" s="15"/>
      <c r="G18" s="15"/>
      <c r="H18" s="15"/>
      <c r="I18" s="15"/>
      <c r="J18" s="16"/>
      <c r="K18" s="22"/>
      <c r="L18" s="22"/>
      <c r="M18" s="22"/>
      <c r="N18" s="22"/>
      <c r="O18" s="22"/>
      <c r="P18" s="22"/>
      <c r="Q18" s="22"/>
      <c r="R18" s="22"/>
      <c r="S18" s="22"/>
      <c r="T18" s="22"/>
      <c r="U18" s="23"/>
      <c r="V18" s="23"/>
      <c r="W18" s="23"/>
    </row>
    <row r="19">
      <c r="A19" s="22"/>
      <c r="B19" s="22"/>
      <c r="C19" s="22"/>
      <c r="D19" s="22"/>
      <c r="E19" s="26"/>
      <c r="F19" s="22"/>
      <c r="G19" s="22"/>
      <c r="H19" s="22"/>
      <c r="I19" s="22"/>
      <c r="J19" s="22"/>
      <c r="K19" s="22"/>
      <c r="L19" s="22"/>
      <c r="M19" s="22"/>
      <c r="N19" s="22"/>
      <c r="O19" s="22"/>
      <c r="P19" s="22"/>
      <c r="Q19" s="22"/>
      <c r="R19" s="22"/>
      <c r="S19" s="22"/>
      <c r="T19" s="22"/>
      <c r="U19" s="23"/>
      <c r="V19" s="23"/>
      <c r="W19" s="23"/>
    </row>
    <row r="20">
      <c r="A20" s="22"/>
      <c r="B20" s="22"/>
      <c r="C20" s="22"/>
      <c r="D20" s="22"/>
      <c r="E20" s="26"/>
      <c r="F20" s="22"/>
      <c r="G20" s="22"/>
      <c r="H20" s="22"/>
      <c r="I20" s="22"/>
      <c r="J20" s="22"/>
      <c r="K20" s="22"/>
      <c r="L20" s="22"/>
      <c r="M20" s="22"/>
      <c r="N20" s="22"/>
      <c r="O20" s="22"/>
      <c r="P20" s="22"/>
      <c r="Q20" s="22"/>
      <c r="R20" s="22"/>
      <c r="S20" s="22"/>
      <c r="T20" s="22"/>
      <c r="U20" s="23"/>
      <c r="V20" s="23"/>
      <c r="W20" s="23"/>
    </row>
    <row r="21">
      <c r="A21" s="22"/>
      <c r="B21" s="22"/>
      <c r="C21" s="22"/>
      <c r="D21" s="22"/>
      <c r="E21" s="26" t="s">
        <v>153</v>
      </c>
      <c r="F21" s="22"/>
      <c r="G21" s="22"/>
      <c r="H21" s="22"/>
      <c r="I21" s="22"/>
      <c r="J21" s="22"/>
      <c r="K21" s="22"/>
      <c r="L21" s="22"/>
      <c r="M21" s="22"/>
      <c r="N21" s="22"/>
      <c r="O21" s="22"/>
      <c r="P21" s="22"/>
      <c r="Q21" s="22"/>
      <c r="R21" s="22"/>
      <c r="S21" s="22"/>
      <c r="T21" s="22"/>
      <c r="U21" s="23"/>
      <c r="V21" s="23"/>
      <c r="W21" s="23"/>
    </row>
    <row r="22">
      <c r="A22" s="22"/>
      <c r="B22" s="22"/>
      <c r="C22" s="22"/>
      <c r="D22" s="22"/>
      <c r="E22" s="26" t="s">
        <v>154</v>
      </c>
      <c r="F22" s="22"/>
      <c r="G22" s="22"/>
      <c r="H22" s="22"/>
      <c r="I22" s="22"/>
      <c r="J22" s="22"/>
      <c r="K22" s="22"/>
      <c r="L22" s="22"/>
      <c r="M22" s="22"/>
      <c r="N22" s="22"/>
      <c r="O22" s="22"/>
      <c r="P22" s="22"/>
      <c r="Q22" s="22"/>
      <c r="R22" s="22"/>
      <c r="S22" s="22"/>
      <c r="T22" s="22"/>
      <c r="U22" s="23"/>
      <c r="V22" s="23"/>
      <c r="W22" s="23"/>
    </row>
    <row r="23">
      <c r="A23" s="22"/>
      <c r="B23" s="22"/>
      <c r="C23" s="22"/>
      <c r="D23" s="22"/>
      <c r="E23" s="26" t="s">
        <v>155</v>
      </c>
      <c r="F23" s="22"/>
      <c r="G23" s="22"/>
      <c r="H23" s="22"/>
      <c r="I23" s="22"/>
      <c r="J23" s="22"/>
      <c r="K23" s="22"/>
      <c r="L23" s="22"/>
      <c r="M23" s="22"/>
      <c r="N23" s="22"/>
      <c r="O23" s="22"/>
      <c r="P23" s="22"/>
      <c r="Q23" s="22"/>
      <c r="R23" s="22"/>
      <c r="S23" s="22"/>
      <c r="T23" s="22"/>
      <c r="U23" s="23"/>
      <c r="V23" s="23"/>
      <c r="W23" s="23"/>
    </row>
    <row r="24">
      <c r="A24" s="22"/>
      <c r="B24" s="22"/>
      <c r="C24" s="22"/>
      <c r="D24" s="22"/>
      <c r="E24" s="26" t="s">
        <v>156</v>
      </c>
      <c r="F24" s="22"/>
      <c r="G24" s="22"/>
      <c r="H24" s="22"/>
      <c r="I24" s="22"/>
      <c r="J24" s="22"/>
      <c r="K24" s="22"/>
      <c r="L24" s="22"/>
      <c r="M24" s="22"/>
      <c r="N24" s="22"/>
      <c r="O24" s="22"/>
      <c r="P24" s="22"/>
      <c r="Q24" s="22"/>
      <c r="R24" s="22"/>
      <c r="S24" s="22"/>
      <c r="T24" s="22"/>
      <c r="U24" s="23"/>
      <c r="V24" s="23"/>
      <c r="W24" s="23"/>
    </row>
    <row r="25">
      <c r="A25" s="22"/>
      <c r="B25" s="22"/>
      <c r="C25" s="22"/>
      <c r="D25" s="22"/>
      <c r="E25" s="26" t="s">
        <v>157</v>
      </c>
      <c r="F25" s="22"/>
      <c r="G25" s="22"/>
      <c r="H25" s="22"/>
      <c r="I25" s="22"/>
      <c r="J25" s="22"/>
      <c r="K25" s="22"/>
      <c r="L25" s="22"/>
      <c r="M25" s="22"/>
      <c r="N25" s="22"/>
      <c r="O25" s="22"/>
      <c r="P25" s="22"/>
      <c r="Q25" s="22"/>
      <c r="R25" s="22"/>
      <c r="S25" s="22"/>
      <c r="T25" s="22"/>
      <c r="U25" s="23"/>
      <c r="V25" s="23"/>
      <c r="W25" s="23"/>
    </row>
    <row r="26">
      <c r="A26" s="22"/>
      <c r="B26" s="22"/>
      <c r="C26" s="22"/>
      <c r="D26" s="22"/>
      <c r="E26" s="26" t="s">
        <v>158</v>
      </c>
      <c r="F26" s="22"/>
      <c r="G26" s="22"/>
      <c r="H26" s="22"/>
      <c r="I26" s="22"/>
      <c r="J26" s="22"/>
      <c r="K26" s="22"/>
      <c r="L26" s="22"/>
      <c r="M26" s="22"/>
      <c r="N26" s="22"/>
      <c r="O26" s="22"/>
      <c r="P26" s="22"/>
      <c r="Q26" s="22"/>
      <c r="R26" s="22"/>
      <c r="S26" s="22"/>
      <c r="T26" s="22"/>
      <c r="U26" s="23"/>
      <c r="V26" s="23"/>
      <c r="W26" s="23"/>
    </row>
    <row r="27">
      <c r="A27" s="22"/>
      <c r="B27" s="22"/>
      <c r="C27" s="22"/>
      <c r="D27" s="22"/>
      <c r="E27" s="22"/>
      <c r="F27" s="22"/>
      <c r="G27" s="22"/>
      <c r="H27" s="22"/>
      <c r="I27" s="22"/>
      <c r="J27" s="22"/>
      <c r="K27" s="22"/>
      <c r="L27" s="22"/>
      <c r="M27" s="22"/>
      <c r="N27" s="22"/>
      <c r="O27" s="22"/>
      <c r="P27" s="22"/>
      <c r="Q27" s="22"/>
      <c r="R27" s="22"/>
      <c r="S27" s="22"/>
      <c r="T27" s="22"/>
      <c r="U27" s="23"/>
      <c r="V27" s="23"/>
      <c r="W27" s="23"/>
    </row>
    <row r="28">
      <c r="A28" s="22"/>
      <c r="B28" s="22"/>
      <c r="C28" s="22"/>
      <c r="D28" s="22"/>
      <c r="E28" s="22"/>
      <c r="F28" s="22"/>
      <c r="G28" s="22"/>
      <c r="H28" s="22"/>
      <c r="I28" s="22"/>
      <c r="J28" s="22"/>
      <c r="K28" s="22"/>
      <c r="L28" s="22"/>
      <c r="M28" s="22"/>
      <c r="N28" s="22"/>
      <c r="O28" s="22"/>
      <c r="P28" s="22"/>
      <c r="Q28" s="22"/>
      <c r="R28" s="22"/>
      <c r="S28" s="22"/>
      <c r="T28" s="22"/>
      <c r="U28" s="23"/>
      <c r="V28" s="23"/>
      <c r="W28" s="23"/>
    </row>
    <row r="29">
      <c r="A29" s="22"/>
      <c r="B29" s="22"/>
      <c r="C29" s="43"/>
      <c r="D29" s="22"/>
      <c r="E29" s="30" t="s">
        <v>159</v>
      </c>
      <c r="F29" s="22"/>
      <c r="G29" s="22"/>
      <c r="H29" s="22"/>
      <c r="I29" s="22"/>
      <c r="J29" s="22"/>
      <c r="K29" s="22"/>
      <c r="L29" s="22"/>
      <c r="M29" s="22"/>
      <c r="N29" s="22"/>
      <c r="O29" s="22"/>
      <c r="P29" s="22"/>
      <c r="Q29" s="22"/>
      <c r="R29" s="22"/>
      <c r="S29" s="22"/>
      <c r="T29" s="22"/>
      <c r="U29" s="23"/>
      <c r="V29" s="23"/>
      <c r="W29" s="23"/>
    </row>
    <row r="30">
      <c r="A30" s="22"/>
      <c r="B30" s="22"/>
      <c r="C30" s="43"/>
      <c r="D30" s="22"/>
      <c r="E30" s="22"/>
      <c r="F30" s="22"/>
      <c r="G30" s="22"/>
      <c r="H30" s="22"/>
      <c r="I30" s="22"/>
      <c r="J30" s="22"/>
      <c r="K30" s="22"/>
      <c r="L30" s="22"/>
      <c r="M30" s="22"/>
      <c r="N30" s="22"/>
      <c r="O30" s="22"/>
      <c r="P30" s="22"/>
      <c r="Q30" s="22"/>
      <c r="R30" s="22"/>
      <c r="S30" s="22"/>
      <c r="T30" s="22"/>
      <c r="U30" s="23"/>
      <c r="V30" s="23"/>
      <c r="W30" s="23"/>
    </row>
    <row r="31">
      <c r="A31" s="22"/>
      <c r="B31" s="22"/>
      <c r="C31" s="43"/>
      <c r="D31" s="22"/>
      <c r="E31" s="22"/>
      <c r="F31" s="22"/>
      <c r="G31" s="22"/>
      <c r="H31" s="22"/>
      <c r="I31" s="22"/>
      <c r="J31" s="22"/>
      <c r="K31" s="22"/>
      <c r="L31" s="22"/>
      <c r="M31" s="22"/>
      <c r="N31" s="22"/>
      <c r="O31" s="22"/>
      <c r="P31" s="22"/>
      <c r="Q31" s="22"/>
      <c r="R31" s="22"/>
      <c r="S31" s="22"/>
      <c r="T31" s="22"/>
      <c r="U31" s="23"/>
      <c r="V31" s="23"/>
      <c r="W31" s="23"/>
    </row>
    <row r="32">
      <c r="A32" s="22"/>
      <c r="B32" s="22"/>
      <c r="C32" s="43"/>
      <c r="D32" s="22"/>
      <c r="E32" s="22"/>
      <c r="F32" s="22"/>
      <c r="G32" s="22"/>
      <c r="H32" s="22"/>
      <c r="I32" s="22"/>
      <c r="J32" s="22"/>
      <c r="K32" s="22"/>
      <c r="L32" s="22"/>
      <c r="M32" s="22"/>
      <c r="N32" s="22"/>
      <c r="O32" s="22"/>
      <c r="P32" s="22"/>
      <c r="Q32" s="22"/>
      <c r="R32" s="22"/>
      <c r="S32" s="22"/>
      <c r="T32" s="22"/>
      <c r="U32" s="23"/>
      <c r="V32" s="23"/>
      <c r="W32" s="23"/>
    </row>
    <row r="33">
      <c r="A33" s="22"/>
      <c r="B33" s="22"/>
      <c r="C33" s="43"/>
      <c r="D33" s="22"/>
      <c r="E33" s="22"/>
      <c r="F33" s="22"/>
      <c r="G33" s="22"/>
      <c r="H33" s="22"/>
      <c r="I33" s="22"/>
      <c r="J33" s="22"/>
      <c r="K33" s="22"/>
      <c r="L33" s="22"/>
      <c r="M33" s="22"/>
      <c r="N33" s="22"/>
      <c r="O33" s="22"/>
      <c r="P33" s="22"/>
      <c r="Q33" s="22"/>
      <c r="R33" s="22"/>
      <c r="S33" s="22"/>
      <c r="T33" s="22"/>
      <c r="U33" s="23"/>
      <c r="V33" s="23"/>
      <c r="W33" s="23"/>
    </row>
    <row r="34">
      <c r="A34" s="22"/>
      <c r="B34" s="22"/>
      <c r="C34" s="43"/>
      <c r="D34" s="22"/>
      <c r="E34" s="22"/>
      <c r="F34" s="22"/>
      <c r="G34" s="22"/>
      <c r="H34" s="22"/>
      <c r="I34" s="22"/>
      <c r="J34" s="22"/>
      <c r="K34" s="22"/>
      <c r="L34" s="22"/>
      <c r="M34" s="22"/>
      <c r="N34" s="22"/>
      <c r="O34" s="22"/>
      <c r="P34" s="22"/>
      <c r="Q34" s="22"/>
      <c r="R34" s="22"/>
      <c r="S34" s="22"/>
      <c r="T34" s="22"/>
      <c r="U34" s="23"/>
      <c r="V34" s="23"/>
      <c r="W34" s="23"/>
    </row>
    <row r="35">
      <c r="A35" s="22"/>
      <c r="B35" s="22"/>
      <c r="C35" s="43"/>
      <c r="D35" s="22"/>
      <c r="E35" s="144" t="s">
        <v>160</v>
      </c>
      <c r="F35" s="10"/>
      <c r="G35" s="10"/>
      <c r="H35" s="10"/>
      <c r="I35" s="11"/>
      <c r="J35" s="22"/>
      <c r="K35" s="22"/>
      <c r="L35" s="22"/>
      <c r="M35" s="22"/>
      <c r="N35" s="22"/>
      <c r="O35" s="22"/>
      <c r="P35" s="22"/>
      <c r="Q35" s="22"/>
      <c r="R35" s="22"/>
      <c r="S35" s="22"/>
      <c r="T35" s="22"/>
      <c r="U35" s="23"/>
      <c r="V35" s="23"/>
      <c r="W35" s="23"/>
    </row>
    <row r="36" ht="15.75" customHeight="1">
      <c r="A36" s="22"/>
      <c r="B36" s="22"/>
      <c r="C36" s="43"/>
      <c r="D36" s="22"/>
      <c r="E36" s="14"/>
      <c r="F36" s="15"/>
      <c r="G36" s="15"/>
      <c r="H36" s="15"/>
      <c r="I36" s="16"/>
      <c r="J36" s="22"/>
      <c r="K36" s="22"/>
      <c r="L36" s="22"/>
      <c r="M36" s="22"/>
      <c r="N36" s="22"/>
      <c r="O36" s="22"/>
      <c r="P36" s="22"/>
      <c r="Q36" s="22"/>
      <c r="R36" s="22"/>
      <c r="S36" s="22"/>
      <c r="T36" s="22"/>
      <c r="U36" s="23"/>
      <c r="V36" s="23"/>
      <c r="W36" s="23"/>
    </row>
    <row r="37">
      <c r="A37" s="22"/>
      <c r="B37" s="22"/>
      <c r="C37" s="43"/>
      <c r="D37" s="22"/>
      <c r="E37" s="22"/>
      <c r="F37" s="22"/>
      <c r="G37" s="22"/>
      <c r="H37" s="22"/>
      <c r="I37" s="22"/>
      <c r="J37" s="22"/>
      <c r="K37" s="22"/>
      <c r="L37" s="22"/>
      <c r="M37" s="22"/>
      <c r="N37" s="22"/>
      <c r="O37" s="22"/>
      <c r="P37" s="145" t="s">
        <v>161</v>
      </c>
      <c r="Q37" s="35"/>
      <c r="R37" s="36"/>
      <c r="S37" s="145" t="s">
        <v>162</v>
      </c>
      <c r="T37" s="35"/>
      <c r="U37" s="36"/>
      <c r="W37" s="23"/>
    </row>
    <row r="38">
      <c r="A38" s="146" t="s">
        <v>163</v>
      </c>
      <c r="B38" s="146"/>
      <c r="C38" s="147"/>
      <c r="D38" s="22"/>
      <c r="E38" s="148" t="s">
        <v>164</v>
      </c>
      <c r="F38" s="35"/>
      <c r="G38" s="35"/>
      <c r="H38" s="36"/>
      <c r="I38" s="149"/>
      <c r="J38" s="35"/>
      <c r="K38" s="35"/>
      <c r="L38" s="35"/>
      <c r="M38" s="36"/>
      <c r="N38" s="22"/>
      <c r="O38" s="22"/>
      <c r="P38" s="150"/>
      <c r="Q38" s="35"/>
      <c r="R38" s="36"/>
      <c r="S38" s="150"/>
      <c r="T38" s="35"/>
      <c r="U38" s="36"/>
      <c r="V38" s="23"/>
      <c r="W38" s="151"/>
    </row>
    <row r="39" outlineLevel="1">
      <c r="A39" s="22"/>
      <c r="B39" s="22"/>
      <c r="C39" s="43"/>
      <c r="D39" s="22"/>
      <c r="E39" s="152" t="s">
        <v>165</v>
      </c>
      <c r="F39" s="35"/>
      <c r="G39" s="35"/>
      <c r="H39" s="35"/>
      <c r="I39" s="153"/>
      <c r="J39" s="154" t="s">
        <v>166</v>
      </c>
      <c r="K39" s="36"/>
      <c r="L39" s="155"/>
      <c r="M39" s="36"/>
      <c r="N39" s="22"/>
      <c r="O39" s="22"/>
      <c r="P39" s="150"/>
      <c r="Q39" s="35"/>
      <c r="R39" s="36"/>
      <c r="S39" s="150"/>
      <c r="T39" s="35"/>
      <c r="U39" s="36"/>
      <c r="V39" s="23"/>
      <c r="W39" s="23"/>
    </row>
    <row r="40" outlineLevel="1">
      <c r="A40" s="45"/>
      <c r="B40" s="43"/>
      <c r="C40" s="43"/>
      <c r="D40" s="43"/>
      <c r="E40" s="156" t="s">
        <v>167</v>
      </c>
      <c r="F40" s="157"/>
      <c r="G40" s="157"/>
      <c r="H40" s="157"/>
      <c r="I40" s="157"/>
      <c r="J40" s="157"/>
      <c r="K40" s="157"/>
      <c r="L40" s="157"/>
      <c r="M40" s="158"/>
      <c r="N40" s="43"/>
      <c r="O40" s="43"/>
      <c r="P40" s="150"/>
      <c r="Q40" s="35"/>
      <c r="R40" s="36"/>
      <c r="S40" s="150"/>
      <c r="T40" s="35"/>
      <c r="U40" s="36"/>
      <c r="V40" s="23"/>
      <c r="W40" s="23"/>
    </row>
    <row r="41">
      <c r="A41" s="146" t="s">
        <v>168</v>
      </c>
      <c r="B41" s="146"/>
      <c r="C41" s="147"/>
      <c r="D41" s="22"/>
      <c r="E41" s="148" t="s">
        <v>169</v>
      </c>
      <c r="F41" s="35"/>
      <c r="G41" s="35"/>
      <c r="H41" s="35"/>
      <c r="I41" s="35"/>
      <c r="J41" s="35"/>
      <c r="K41" s="35"/>
      <c r="L41" s="159" t="s">
        <v>170</v>
      </c>
      <c r="M41" s="160" t="s">
        <v>171</v>
      </c>
      <c r="N41" s="22"/>
      <c r="O41" s="22"/>
      <c r="P41" s="161"/>
      <c r="Q41" s="35"/>
      <c r="R41" s="36"/>
      <c r="S41" s="150"/>
      <c r="T41" s="35"/>
      <c r="U41" s="36"/>
      <c r="V41" s="23"/>
      <c r="W41" s="23"/>
    </row>
    <row r="42" outlineLevel="1">
      <c r="A42" s="22"/>
      <c r="B42" s="22"/>
      <c r="C42" s="43"/>
      <c r="D42" s="22"/>
      <c r="E42" s="162" t="s">
        <v>172</v>
      </c>
      <c r="F42" s="128"/>
      <c r="G42" s="128"/>
      <c r="H42" s="128"/>
      <c r="I42" s="128"/>
      <c r="J42" s="128"/>
      <c r="K42" s="163"/>
      <c r="L42" s="164" t="str">
        <f>IF(OR(L39="Federal Mobility Budget", L39="Commute", L39="professional travel"), "Yes", IF(L39="EV Charging &amp; Fuel", "No", ""))</f>
        <v/>
      </c>
      <c r="M42" s="165" t="str">
        <f>L42</f>
        <v/>
      </c>
      <c r="N42" s="22"/>
      <c r="O42" s="22"/>
      <c r="P42" s="161"/>
      <c r="Q42" s="35"/>
      <c r="R42" s="36"/>
      <c r="S42" s="150"/>
      <c r="T42" s="35"/>
      <c r="U42" s="36"/>
      <c r="V42" s="23"/>
      <c r="W42" s="23"/>
    </row>
    <row r="43" outlineLevel="1">
      <c r="A43" s="22"/>
      <c r="B43" s="22"/>
      <c r="C43" s="43"/>
      <c r="D43" s="22"/>
      <c r="E43" s="152" t="s">
        <v>173</v>
      </c>
      <c r="F43" s="131"/>
      <c r="G43" s="131"/>
      <c r="H43" s="131"/>
      <c r="I43" s="131"/>
      <c r="J43" s="131"/>
      <c r="K43" s="166"/>
      <c r="L43" s="167" t="str">
        <f>IF(L39="Commute","Often",IF(L39="Federal Mobility Budget","Often",IF(OR(L39="Professional Travel",L39="EV Charging &amp; Fuel"),"No",L39)))</f>
        <v/>
      </c>
      <c r="M43" s="168"/>
      <c r="N43" s="22"/>
      <c r="O43" s="22"/>
      <c r="P43" s="169"/>
      <c r="Q43" s="35"/>
      <c r="R43" s="36"/>
      <c r="S43" s="150"/>
      <c r="T43" s="35"/>
      <c r="U43" s="36"/>
      <c r="V43" s="23"/>
      <c r="W43" s="23"/>
    </row>
    <row r="44" outlineLevel="1">
      <c r="A44" s="22"/>
      <c r="B44" s="22"/>
      <c r="C44" s="43"/>
      <c r="D44" s="22"/>
      <c r="E44" s="162" t="s">
        <v>174</v>
      </c>
      <c r="F44" s="128"/>
      <c r="G44" s="128"/>
      <c r="H44" s="128"/>
      <c r="I44" s="128"/>
      <c r="J44" s="128"/>
      <c r="K44" s="163"/>
      <c r="L44" s="170" t="str">
        <f>IF(OR(L39="Federal Mobility Budget"), "Yes", IF(OR(L39="professional travel", L39="EV Charging &amp; Fuel", L39="Commute"), "No", ""))</f>
        <v/>
      </c>
      <c r="M44" s="165" t="str">
        <f>L44</f>
        <v/>
      </c>
      <c r="N44" s="22"/>
      <c r="O44" s="22"/>
      <c r="P44" s="161"/>
      <c r="Q44" s="35"/>
      <c r="R44" s="36"/>
      <c r="S44" s="150"/>
      <c r="T44" s="35"/>
      <c r="U44" s="36"/>
      <c r="V44" s="23"/>
      <c r="W44" s="23"/>
    </row>
    <row r="45" outlineLevel="1">
      <c r="A45" s="22"/>
      <c r="B45" s="22"/>
      <c r="C45" s="43"/>
      <c r="D45" s="22"/>
      <c r="E45" s="152" t="s">
        <v>175</v>
      </c>
      <c r="F45" s="131"/>
      <c r="G45" s="131"/>
      <c r="H45" s="131"/>
      <c r="I45" s="131"/>
      <c r="J45" s="131"/>
      <c r="K45" s="166"/>
      <c r="L45" s="171" t="str">
        <f>IF(L39="Commute","Often",IF(L39="Federal Mobility Budget","Yes",IF(OR(L39="EV Charging &amp; Fuel",L39="professional travel"),"No","")))
</f>
        <v/>
      </c>
      <c r="M45" s="165"/>
      <c r="N45" s="22"/>
      <c r="O45" s="22"/>
      <c r="P45" s="169"/>
      <c r="Q45" s="35"/>
      <c r="R45" s="36"/>
      <c r="S45" s="150"/>
      <c r="T45" s="35"/>
      <c r="U45" s="36"/>
      <c r="V45" s="23"/>
      <c r="W45" s="23"/>
    </row>
    <row r="46" outlineLevel="1">
      <c r="A46" s="22"/>
      <c r="B46" s="22"/>
      <c r="C46" s="43"/>
      <c r="D46" s="22"/>
      <c r="E46" s="162" t="s">
        <v>176</v>
      </c>
      <c r="F46" s="128"/>
      <c r="G46" s="128"/>
      <c r="H46" s="128"/>
      <c r="I46" s="128"/>
      <c r="J46" s="128"/>
      <c r="K46" s="163"/>
      <c r="L46" s="170" t="str">
        <f>IF(OR(L39="Federal Mobility Budget"), "Yes", IF(OR(L39="professional travel", L39="EV Charging &amp; Fuel", L39="Commute"), "No", ""))</f>
        <v/>
      </c>
      <c r="M46" s="165" t="str">
        <f>L46</f>
        <v/>
      </c>
      <c r="N46" s="22"/>
      <c r="O46" s="22"/>
      <c r="P46" s="161"/>
      <c r="Q46" s="35"/>
      <c r="R46" s="36"/>
      <c r="S46" s="150"/>
      <c r="T46" s="35"/>
      <c r="U46" s="36"/>
      <c r="V46" s="23"/>
      <c r="W46" s="23"/>
    </row>
    <row r="47" outlineLevel="1">
      <c r="A47" s="22"/>
      <c r="B47" s="22"/>
      <c r="C47" s="43"/>
      <c r="D47" s="22"/>
      <c r="E47" s="152" t="s">
        <v>177</v>
      </c>
      <c r="F47" s="131"/>
      <c r="G47" s="131"/>
      <c r="H47" s="131"/>
      <c r="I47" s="131"/>
      <c r="J47" s="131"/>
      <c r="K47" s="166"/>
      <c r="L47" s="171" t="str">
        <f>IF(OR(L39="Federal Mobility Budget"), "Often", IF(OR(L39="professional travel", L39="EV Charging &amp; Fuel", L39="Commute"), "No", ""))</f>
        <v/>
      </c>
      <c r="M47" s="165"/>
      <c r="N47" s="22"/>
      <c r="O47" s="22"/>
      <c r="P47" s="169"/>
      <c r="Q47" s="35"/>
      <c r="R47" s="36"/>
      <c r="S47" s="150"/>
      <c r="T47" s="35"/>
      <c r="U47" s="36"/>
      <c r="V47" s="23"/>
      <c r="W47" s="23"/>
    </row>
    <row r="48" outlineLevel="1">
      <c r="A48" s="22"/>
      <c r="B48" s="22"/>
      <c r="C48" s="43"/>
      <c r="D48" s="22"/>
      <c r="E48" s="162" t="s">
        <v>178</v>
      </c>
      <c r="F48" s="128"/>
      <c r="G48" s="128"/>
      <c r="H48" s="128"/>
      <c r="I48" s="128"/>
      <c r="J48" s="128"/>
      <c r="K48" s="163"/>
      <c r="L48" s="170" t="str">
        <f>IF(OR(L39="Federal Mobility Budget"), "Yes", IF(OR(L39="professional travel", L39="EV Charging &amp; Fuel", L39="Commute"), "No", ""))</f>
        <v/>
      </c>
      <c r="M48" s="165" t="str">
        <f t="shared" ref="M48:M60" si="1">L48</f>
        <v/>
      </c>
      <c r="N48" s="22"/>
      <c r="O48" s="22"/>
      <c r="P48" s="161"/>
      <c r="Q48" s="35"/>
      <c r="R48" s="36"/>
      <c r="S48" s="150"/>
      <c r="T48" s="35"/>
      <c r="U48" s="36"/>
      <c r="V48" s="23"/>
      <c r="W48" s="23"/>
    </row>
    <row r="49" outlineLevel="1">
      <c r="A49" s="22"/>
      <c r="B49" s="22"/>
      <c r="C49" s="43"/>
      <c r="D49" s="22"/>
      <c r="E49" s="152" t="s">
        <v>179</v>
      </c>
      <c r="F49" s="131"/>
      <c r="G49" s="131"/>
      <c r="H49" s="131"/>
      <c r="I49" s="131"/>
      <c r="J49" s="131"/>
      <c r="K49" s="166"/>
      <c r="L49" s="171" t="str">
        <f>IF(OR(L39="Federal Mobility Budget", L39="professional travel"), "Yes", IF(OR(L39="EV Charging &amp; Fuel", L39="Commute"), "No", ""))</f>
        <v/>
      </c>
      <c r="M49" s="165" t="str">
        <f t="shared" si="1"/>
        <v/>
      </c>
      <c r="N49" s="22"/>
      <c r="O49" s="22"/>
      <c r="P49" s="161"/>
      <c r="Q49" s="35"/>
      <c r="R49" s="36"/>
      <c r="S49" s="150"/>
      <c r="T49" s="35"/>
      <c r="U49" s="36"/>
      <c r="V49" s="23"/>
      <c r="W49" s="23"/>
    </row>
    <row r="50" outlineLevel="1">
      <c r="A50" s="22"/>
      <c r="B50" s="22"/>
      <c r="C50" s="43"/>
      <c r="D50" s="22"/>
      <c r="E50" s="162" t="s">
        <v>180</v>
      </c>
      <c r="F50" s="128"/>
      <c r="G50" s="128"/>
      <c r="H50" s="128"/>
      <c r="I50" s="128"/>
      <c r="J50" s="128"/>
      <c r="K50" s="163"/>
      <c r="L50" s="170" t="str">
        <f>IF(OR(L39="Federal Mobility Budget"), "Yes", IF(OR(L39="professional travel", L39="EV Charging &amp; Fuel", L39="Commute"), "No", ""))</f>
        <v/>
      </c>
      <c r="M50" s="165" t="str">
        <f t="shared" si="1"/>
        <v/>
      </c>
      <c r="N50" s="22"/>
      <c r="O50" s="22"/>
      <c r="P50" s="161"/>
      <c r="Q50" s="35"/>
      <c r="R50" s="36"/>
      <c r="S50" s="150"/>
      <c r="T50" s="35"/>
      <c r="U50" s="36"/>
      <c r="V50" s="23"/>
      <c r="W50" s="23"/>
    </row>
    <row r="51" outlineLevel="1">
      <c r="A51" s="22"/>
      <c r="B51" s="22"/>
      <c r="C51" s="43"/>
      <c r="D51" s="22"/>
      <c r="E51" s="152" t="s">
        <v>181</v>
      </c>
      <c r="F51" s="131"/>
      <c r="G51" s="131"/>
      <c r="H51" s="131"/>
      <c r="I51" s="131"/>
      <c r="J51" s="131"/>
      <c r="K51" s="166"/>
      <c r="L51" s="171" t="str">
        <f>IF(OR(L39="Federal Mobility Budget", L39="Commute", L39="professional travel"), "Yes", IF(L39="EV Charging &amp; Fuel", "No", ""))</f>
        <v/>
      </c>
      <c r="M51" s="165" t="str">
        <f t="shared" si="1"/>
        <v/>
      </c>
      <c r="N51" s="22"/>
      <c r="O51" s="22"/>
      <c r="P51" s="161"/>
      <c r="Q51" s="35"/>
      <c r="R51" s="36"/>
      <c r="S51" s="150"/>
      <c r="T51" s="35"/>
      <c r="U51" s="36"/>
      <c r="V51" s="23"/>
      <c r="W51" s="23"/>
    </row>
    <row r="52" outlineLevel="1">
      <c r="A52" s="22"/>
      <c r="B52" s="22"/>
      <c r="C52" s="43"/>
      <c r="D52" s="22"/>
      <c r="E52" s="162" t="s">
        <v>182</v>
      </c>
      <c r="F52" s="128"/>
      <c r="G52" s="128"/>
      <c r="H52" s="128"/>
      <c r="I52" s="128"/>
      <c r="J52" s="128"/>
      <c r="K52" s="163"/>
      <c r="L52" s="170" t="str">
        <f>IF(OR(L39="Federal Mobility Budget", L39="Commute", L39="professional travel"), "Yes", IF(L39="EV Charging &amp; Fuel", "No", ""))</f>
        <v/>
      </c>
      <c r="M52" s="165" t="str">
        <f t="shared" si="1"/>
        <v/>
      </c>
      <c r="N52" s="22"/>
      <c r="O52" s="22"/>
      <c r="P52" s="161"/>
      <c r="Q52" s="35"/>
      <c r="R52" s="36"/>
      <c r="S52" s="150"/>
      <c r="T52" s="35"/>
      <c r="U52" s="36"/>
      <c r="V52" s="23"/>
      <c r="W52" s="23"/>
    </row>
    <row r="53" outlineLevel="1">
      <c r="A53" s="22"/>
      <c r="B53" s="22"/>
      <c r="C53" s="43"/>
      <c r="D53" s="22"/>
      <c r="E53" s="152" t="s">
        <v>183</v>
      </c>
      <c r="F53" s="131"/>
      <c r="G53" s="131"/>
      <c r="H53" s="131"/>
      <c r="I53" s="131"/>
      <c r="J53" s="131"/>
      <c r="K53" s="166"/>
      <c r="L53" s="171" t="str">
        <f>IF(OR(L39="Federal Mobility Budget"), "Yes", IF(OR(L39="professional travel", L39="EV Charging &amp; Fuel", L39="Commute"), "No", ""))</f>
        <v/>
      </c>
      <c r="M53" s="165" t="str">
        <f t="shared" si="1"/>
        <v/>
      </c>
      <c r="N53" s="22"/>
      <c r="O53" s="22"/>
      <c r="P53" s="161"/>
      <c r="Q53" s="35"/>
      <c r="R53" s="36"/>
      <c r="S53" s="150"/>
      <c r="T53" s="35"/>
      <c r="U53" s="36"/>
      <c r="V53" s="23"/>
      <c r="W53" s="23"/>
    </row>
    <row r="54" outlineLevel="1">
      <c r="A54" s="22"/>
      <c r="B54" s="22"/>
      <c r="C54" s="43"/>
      <c r="D54" s="22"/>
      <c r="E54" s="162" t="s">
        <v>184</v>
      </c>
      <c r="F54" s="128"/>
      <c r="G54" s="128"/>
      <c r="H54" s="128"/>
      <c r="I54" s="128"/>
      <c r="J54" s="128"/>
      <c r="K54" s="163"/>
      <c r="L54" s="170" t="str">
        <f>IF(OR(L39="professional travel"), "Yes", IF(OR(L39="Federal Mobility Budget", L39="EV Charging &amp; Fuel", L39="Commute"), "No", ""))</f>
        <v/>
      </c>
      <c r="M54" s="165" t="str">
        <f t="shared" si="1"/>
        <v/>
      </c>
      <c r="N54" s="22"/>
      <c r="O54" s="22"/>
      <c r="P54" s="161"/>
      <c r="Q54" s="35"/>
      <c r="R54" s="36"/>
      <c r="S54" s="150"/>
      <c r="T54" s="35"/>
      <c r="U54" s="36"/>
      <c r="V54" s="23"/>
      <c r="W54" s="23"/>
    </row>
    <row r="55" outlineLevel="1">
      <c r="A55" s="22"/>
      <c r="B55" s="22"/>
      <c r="C55" s="43"/>
      <c r="D55" s="22"/>
      <c r="E55" s="152" t="s">
        <v>185</v>
      </c>
      <c r="F55" s="131"/>
      <c r="G55" s="131"/>
      <c r="H55" s="131"/>
      <c r="I55" s="131"/>
      <c r="J55" s="131"/>
      <c r="K55" s="166"/>
      <c r="L55" s="171" t="str">
        <f>IF(OR(L39="Federal Mobility Budget", L39="Commute", L39="professional travel"), "Yes", IF(L39="EV Charging &amp; Fuel", "No", ""))</f>
        <v/>
      </c>
      <c r="M55" s="165" t="str">
        <f t="shared" si="1"/>
        <v/>
      </c>
      <c r="N55" s="22"/>
      <c r="O55" s="22"/>
      <c r="P55" s="161"/>
      <c r="Q55" s="35"/>
      <c r="R55" s="36"/>
      <c r="S55" s="150"/>
      <c r="T55" s="35"/>
      <c r="U55" s="36"/>
      <c r="V55" s="23"/>
      <c r="W55" s="23"/>
    </row>
    <row r="56" outlineLevel="1">
      <c r="A56" s="22"/>
      <c r="B56" s="22"/>
      <c r="C56" s="43"/>
      <c r="D56" s="22"/>
      <c r="E56" s="162" t="s">
        <v>186</v>
      </c>
      <c r="F56" s="128"/>
      <c r="G56" s="128"/>
      <c r="H56" s="128"/>
      <c r="I56" s="128"/>
      <c r="J56" s="128"/>
      <c r="K56" s="163"/>
      <c r="L56" s="170" t="str">
        <f>IF(OR(L39="Federal Mobility Budget", L39="Commute", L39="professional travel"), "Yes", IF(L39="EV Charging &amp; Fuel", "No", ""))</f>
        <v/>
      </c>
      <c r="M56" s="165" t="str">
        <f t="shared" si="1"/>
        <v/>
      </c>
      <c r="N56" s="22"/>
      <c r="O56" s="22"/>
      <c r="P56" s="161"/>
      <c r="Q56" s="35"/>
      <c r="R56" s="36"/>
      <c r="S56" s="150"/>
      <c r="T56" s="35"/>
      <c r="U56" s="36"/>
      <c r="V56" s="23"/>
      <c r="W56" s="23"/>
    </row>
    <row r="57" outlineLevel="1">
      <c r="A57" s="22"/>
      <c r="B57" s="22"/>
      <c r="C57" s="43"/>
      <c r="D57" s="22"/>
      <c r="E57" s="152" t="s">
        <v>187</v>
      </c>
      <c r="F57" s="131"/>
      <c r="G57" s="131"/>
      <c r="H57" s="131"/>
      <c r="I57" s="131"/>
      <c r="J57" s="131"/>
      <c r="K57" s="166"/>
      <c r="L57" s="171" t="str">
        <f>IF(OR(L39="Federal Mobility Budget", L39="professional travel"), "Yes", IF(OR(L39="EV Charging &amp; Fuel", L39="Commute"), "No", ""))</f>
        <v/>
      </c>
      <c r="M57" s="165" t="str">
        <f t="shared" si="1"/>
        <v/>
      </c>
      <c r="N57" s="22"/>
      <c r="O57" s="22"/>
      <c r="P57" s="161"/>
      <c r="Q57" s="35"/>
      <c r="R57" s="36"/>
      <c r="S57" s="150"/>
      <c r="T57" s="35"/>
      <c r="U57" s="36"/>
      <c r="V57" s="23"/>
      <c r="W57" s="23"/>
    </row>
    <row r="58" outlineLevel="1">
      <c r="A58" s="22"/>
      <c r="B58" s="22"/>
      <c r="C58" s="43"/>
      <c r="D58" s="22"/>
      <c r="E58" s="162" t="s">
        <v>188</v>
      </c>
      <c r="F58" s="128"/>
      <c r="G58" s="128"/>
      <c r="H58" s="128"/>
      <c r="I58" s="128"/>
      <c r="J58" s="128"/>
      <c r="K58" s="163"/>
      <c r="L58" s="170" t="str">
        <f>IF(OR(L39="Federal Mobility Budget", L39="Commute", L39="professional travel"), "No", IF(L39="EV Charging &amp; Fuel", "Yes", ""))</f>
        <v/>
      </c>
      <c r="M58" s="165" t="str">
        <f t="shared" si="1"/>
        <v/>
      </c>
      <c r="N58" s="22"/>
      <c r="O58" s="22"/>
      <c r="P58" s="161"/>
      <c r="Q58" s="35"/>
      <c r="R58" s="36"/>
      <c r="S58" s="150"/>
      <c r="T58" s="35"/>
      <c r="U58" s="36"/>
      <c r="V58" s="23"/>
      <c r="W58" s="23"/>
    </row>
    <row r="59" outlineLevel="1">
      <c r="A59" s="22"/>
      <c r="B59" s="22"/>
      <c r="C59" s="43"/>
      <c r="D59" s="22"/>
      <c r="E59" s="152" t="s">
        <v>189</v>
      </c>
      <c r="F59" s="131"/>
      <c r="G59" s="131"/>
      <c r="H59" s="131"/>
      <c r="I59" s="131"/>
      <c r="J59" s="131"/>
      <c r="K59" s="166"/>
      <c r="L59" s="171" t="str">
        <f>IF(OR(L39="Federal Mobility Budget", L39="Commute", L39="professional travel"), "No", IF(L39="EV Charging &amp; Fuel", "No", ""))</f>
        <v/>
      </c>
      <c r="M59" s="165" t="str">
        <f t="shared" si="1"/>
        <v/>
      </c>
      <c r="N59" s="22"/>
      <c r="O59" s="22"/>
      <c r="P59" s="161"/>
      <c r="Q59" s="35"/>
      <c r="R59" s="36"/>
      <c r="S59" s="150"/>
      <c r="T59" s="35"/>
      <c r="U59" s="36"/>
      <c r="V59" s="23"/>
      <c r="W59" s="23"/>
    </row>
    <row r="60" outlineLevel="1">
      <c r="A60" s="22"/>
      <c r="B60" s="22"/>
      <c r="C60" s="43"/>
      <c r="D60" s="22"/>
      <c r="E60" s="162" t="s">
        <v>190</v>
      </c>
      <c r="F60" s="128"/>
      <c r="G60" s="128"/>
      <c r="H60" s="128"/>
      <c r="I60" s="128"/>
      <c r="J60" s="128"/>
      <c r="K60" s="163"/>
      <c r="L60" s="170" t="str">
        <f>IF(OR(L39="Federal Mobility Budget"), "Yes", IF(OR(L39="professional travel", L39="EV Charging &amp; Fuel", L39="Commute"), "No", ""))</f>
        <v/>
      </c>
      <c r="M60" s="165" t="str">
        <f t="shared" si="1"/>
        <v/>
      </c>
      <c r="N60" s="22"/>
      <c r="O60" s="22"/>
      <c r="P60" s="161"/>
      <c r="Q60" s="35"/>
      <c r="R60" s="36"/>
      <c r="S60" s="172"/>
      <c r="T60" s="172"/>
      <c r="U60" s="172"/>
      <c r="V60" s="23"/>
      <c r="W60" s="23"/>
    </row>
    <row r="61" outlineLevel="2">
      <c r="A61" s="22"/>
      <c r="B61" s="22"/>
      <c r="C61" s="43"/>
      <c r="D61" s="22"/>
      <c r="E61" s="173" t="s">
        <v>191</v>
      </c>
      <c r="F61" s="174"/>
      <c r="G61" s="174"/>
      <c r="H61" s="174"/>
      <c r="I61" s="174"/>
      <c r="J61" s="175"/>
      <c r="K61" s="176" t="str">
        <f>IF((L60="Yes"),"Yes allow","") </f>
        <v/>
      </c>
      <c r="L61" s="177"/>
      <c r="M61" s="18"/>
      <c r="N61" s="22"/>
      <c r="O61" s="22"/>
      <c r="P61" s="161"/>
      <c r="Q61" s="35"/>
      <c r="R61" s="36"/>
      <c r="S61" s="172"/>
      <c r="T61" s="172"/>
      <c r="U61" s="172"/>
      <c r="V61" s="23"/>
      <c r="W61" s="23"/>
    </row>
    <row r="62" outlineLevel="2">
      <c r="A62" s="22"/>
      <c r="B62" s="22"/>
      <c r="C62" s="43"/>
      <c r="D62" s="22"/>
      <c r="E62" s="178" t="s">
        <v>192</v>
      </c>
      <c r="F62" s="179"/>
      <c r="G62" s="179"/>
      <c r="H62" s="179"/>
      <c r="I62" s="179"/>
      <c r="J62" s="180"/>
      <c r="K62" s="176" t="str">
        <f>IF((L60="Yes"),"Yes allow","") </f>
        <v/>
      </c>
      <c r="L62" s="181"/>
      <c r="M62" s="18"/>
      <c r="N62" s="22"/>
      <c r="O62" s="22"/>
      <c r="P62" s="161"/>
      <c r="Q62" s="35"/>
      <c r="R62" s="36"/>
      <c r="S62" s="172"/>
      <c r="T62" s="172"/>
      <c r="U62" s="172"/>
      <c r="V62" s="23"/>
      <c r="W62" s="23"/>
    </row>
    <row r="63" outlineLevel="1">
      <c r="A63" s="22"/>
      <c r="B63" s="22"/>
      <c r="C63" s="43"/>
      <c r="D63" s="22"/>
      <c r="E63" s="152" t="s">
        <v>193</v>
      </c>
      <c r="F63" s="35"/>
      <c r="G63" s="35"/>
      <c r="H63" s="35"/>
      <c r="I63" s="35"/>
      <c r="J63" s="35"/>
      <c r="K63" s="153"/>
      <c r="L63" s="171" t="str">
        <f>IF(OR(L39="Federal Mobility Budget", L39="Commute", L39="professional travel"), "Yes", IF(L39="EV Charging &amp; Fuel", "No", ""))</f>
        <v/>
      </c>
      <c r="M63" s="165" t="str">
        <f>L63</f>
        <v/>
      </c>
      <c r="N63" s="22"/>
      <c r="O63" s="22"/>
      <c r="P63" s="161"/>
      <c r="Q63" s="35"/>
      <c r="R63" s="36"/>
      <c r="S63" s="150"/>
      <c r="T63" s="35"/>
      <c r="U63" s="36"/>
      <c r="V63" s="23"/>
      <c r="W63" s="23"/>
    </row>
    <row r="64" outlineLevel="2">
      <c r="A64" s="22"/>
      <c r="B64" s="22"/>
      <c r="C64" s="43"/>
      <c r="D64" s="22"/>
      <c r="E64" s="182" t="s">
        <v>194</v>
      </c>
      <c r="F64" s="183"/>
      <c r="G64" s="183"/>
      <c r="H64" s="183"/>
      <c r="I64" s="183"/>
      <c r="J64" s="184"/>
      <c r="K64" s="185" t="str">
        <f>IF(OR(L63="Yes",L63="Often"),"0.37","") </f>
        <v/>
      </c>
      <c r="L64" s="186"/>
      <c r="M64" s="187" t="str">
        <f t="shared" ref="M64:M65" si="2">K64</f>
        <v/>
      </c>
      <c r="N64" s="22"/>
      <c r="O64" s="22"/>
      <c r="P64" s="161"/>
      <c r="Q64" s="35"/>
      <c r="R64" s="36"/>
      <c r="S64" s="150"/>
      <c r="T64" s="35"/>
      <c r="U64" s="36"/>
      <c r="V64" s="23"/>
      <c r="W64" s="23"/>
    </row>
    <row r="65" outlineLevel="2">
      <c r="A65" s="22"/>
      <c r="B65" s="22"/>
      <c r="C65" s="43"/>
      <c r="D65" s="22"/>
      <c r="E65" s="188" t="s">
        <v>195</v>
      </c>
      <c r="F65" s="189"/>
      <c r="G65" s="189"/>
      <c r="H65" s="189"/>
      <c r="I65" s="189"/>
      <c r="J65" s="190"/>
      <c r="K65" s="191" t="str">
        <f>IF(OR(L63="Yes",L63="Often"),"120","") </f>
        <v/>
      </c>
      <c r="L65" s="192"/>
      <c r="M65" s="193" t="str">
        <f t="shared" si="2"/>
        <v/>
      </c>
      <c r="N65" s="22"/>
      <c r="O65" s="22"/>
      <c r="P65" s="161"/>
      <c r="Q65" s="35"/>
      <c r="R65" s="36"/>
      <c r="S65" s="150"/>
      <c r="T65" s="35"/>
      <c r="U65" s="36"/>
      <c r="V65" s="23"/>
      <c r="W65" s="23"/>
    </row>
    <row r="66" outlineLevel="2">
      <c r="A66" s="22"/>
      <c r="B66" s="22"/>
      <c r="C66" s="43"/>
      <c r="D66" s="22"/>
      <c r="E66" s="188" t="s">
        <v>196</v>
      </c>
      <c r="F66" s="189"/>
      <c r="G66" s="189"/>
      <c r="H66" s="189"/>
      <c r="I66" s="189"/>
      <c r="J66" s="190"/>
      <c r="K66" s="191" t="str">
        <f>IF(OR(L63="Yes",L63="Often"),"No don't allow","") </f>
        <v/>
      </c>
      <c r="L66" s="192"/>
      <c r="M66" s="18"/>
      <c r="N66" s="22"/>
      <c r="O66" s="22"/>
      <c r="P66" s="161"/>
      <c r="Q66" s="35"/>
      <c r="R66" s="36"/>
      <c r="S66" s="150"/>
      <c r="T66" s="35"/>
      <c r="U66" s="36"/>
      <c r="V66" s="23"/>
      <c r="W66" s="23"/>
    </row>
    <row r="67" outlineLevel="2">
      <c r="A67" s="22"/>
      <c r="B67" s="22"/>
      <c r="C67" s="43"/>
      <c r="D67" s="22"/>
      <c r="E67" s="194" t="s">
        <v>197</v>
      </c>
      <c r="F67" s="195"/>
      <c r="G67" s="195"/>
      <c r="H67" s="195"/>
      <c r="I67" s="195"/>
      <c r="J67" s="196"/>
      <c r="K67" s="197" t="str">
        <f>IF(OR(L63="Yes",L63="Often"),"No auto-approved","") </f>
        <v/>
      </c>
      <c r="L67" s="198"/>
      <c r="M67" s="18"/>
      <c r="N67" s="22"/>
      <c r="O67" s="22"/>
      <c r="P67" s="161"/>
      <c r="Q67" s="35"/>
      <c r="R67" s="36"/>
      <c r="S67" s="150"/>
      <c r="T67" s="35"/>
      <c r="U67" s="36"/>
      <c r="V67" s="23"/>
      <c r="W67" s="23"/>
    </row>
    <row r="68" outlineLevel="1">
      <c r="A68" s="22"/>
      <c r="B68" s="22"/>
      <c r="C68" s="43"/>
      <c r="D68" s="22"/>
      <c r="E68" s="162" t="s">
        <v>198</v>
      </c>
      <c r="F68" s="35"/>
      <c r="G68" s="35"/>
      <c r="H68" s="35"/>
      <c r="I68" s="35"/>
      <c r="J68" s="35"/>
      <c r="K68" s="199"/>
      <c r="L68" s="200" t="str">
        <f>IF(OR(L39="professional travel", L39="Commute"), "Yes", IF(OR(L39="Federal Mobility Budget", L39="EV Charging &amp; Fuel"), "No", ""))</f>
        <v/>
      </c>
      <c r="M68" s="165" t="str">
        <f>L68</f>
        <v/>
      </c>
      <c r="N68" s="22"/>
      <c r="O68" s="22"/>
      <c r="P68" s="161"/>
      <c r="Q68" s="35"/>
      <c r="R68" s="36"/>
      <c r="S68" s="150"/>
      <c r="T68" s="35"/>
      <c r="U68" s="36"/>
      <c r="V68" s="23"/>
      <c r="W68" s="23"/>
    </row>
    <row r="69" outlineLevel="2">
      <c r="A69" s="22"/>
      <c r="B69" s="22"/>
      <c r="C69" s="43"/>
      <c r="D69" s="22"/>
      <c r="E69" s="173" t="s">
        <v>194</v>
      </c>
      <c r="F69" s="201"/>
      <c r="G69" s="201"/>
      <c r="H69" s="201"/>
      <c r="I69" s="201"/>
      <c r="J69" s="202"/>
      <c r="K69" s="203" t="str">
        <f>IF(OR(L68="Yes",L68="Often"),"0.43","") </f>
        <v/>
      </c>
      <c r="L69" s="204"/>
      <c r="M69" s="187" t="str">
        <f t="shared" ref="M69:M70" si="3">K69</f>
        <v/>
      </c>
      <c r="N69" s="22"/>
      <c r="O69" s="22"/>
      <c r="P69" s="161"/>
      <c r="Q69" s="35"/>
      <c r="R69" s="36"/>
      <c r="S69" s="150"/>
      <c r="T69" s="35"/>
      <c r="U69" s="36"/>
      <c r="V69" s="23"/>
      <c r="W69" s="23"/>
    </row>
    <row r="70" outlineLevel="2">
      <c r="A70" s="22"/>
      <c r="B70" s="22"/>
      <c r="C70" s="43"/>
      <c r="D70" s="22"/>
      <c r="E70" s="205" t="s">
        <v>195</v>
      </c>
      <c r="F70" s="206"/>
      <c r="G70" s="206"/>
      <c r="H70" s="206"/>
      <c r="I70" s="206"/>
      <c r="J70" s="207"/>
      <c r="K70" s="176" t="str">
        <f>IF(OR(L68="Yes",L68="Often"),"250","") </f>
        <v/>
      </c>
      <c r="L70" s="208"/>
      <c r="M70" s="187" t="str">
        <f t="shared" si="3"/>
        <v/>
      </c>
      <c r="N70" s="22"/>
      <c r="O70" s="22"/>
      <c r="P70" s="161"/>
      <c r="Q70" s="35"/>
      <c r="R70" s="36"/>
      <c r="S70" s="150"/>
      <c r="T70" s="35"/>
      <c r="U70" s="36"/>
      <c r="V70" s="23"/>
      <c r="W70" s="23"/>
    </row>
    <row r="71" outlineLevel="2">
      <c r="A71" s="22"/>
      <c r="B71" s="22"/>
      <c r="C71" s="43"/>
      <c r="D71" s="22"/>
      <c r="E71" s="205" t="s">
        <v>196</v>
      </c>
      <c r="F71" s="206"/>
      <c r="G71" s="206"/>
      <c r="H71" s="206"/>
      <c r="I71" s="206"/>
      <c r="J71" s="207"/>
      <c r="K71" s="176" t="str">
        <f>IF(OR(L68="Yes",L68="Often"),"No don't allow","") </f>
        <v/>
      </c>
      <c r="L71" s="208"/>
      <c r="M71" s="18"/>
      <c r="N71" s="22"/>
      <c r="O71" s="22"/>
      <c r="P71" s="161"/>
      <c r="Q71" s="35"/>
      <c r="R71" s="36"/>
      <c r="S71" s="150"/>
      <c r="T71" s="35"/>
      <c r="U71" s="36"/>
      <c r="V71" s="23"/>
      <c r="W71" s="23"/>
    </row>
    <row r="72" outlineLevel="2">
      <c r="A72" s="22"/>
      <c r="B72" s="22"/>
      <c r="C72" s="43"/>
      <c r="D72" s="22"/>
      <c r="E72" s="178" t="s">
        <v>197</v>
      </c>
      <c r="F72" s="209"/>
      <c r="G72" s="209"/>
      <c r="H72" s="209"/>
      <c r="I72" s="209"/>
      <c r="J72" s="210"/>
      <c r="K72" s="176" t="str">
        <f>IF(OR(L68="Yes",L68="Often"),"No auto-approved","") </f>
        <v/>
      </c>
      <c r="L72" s="208"/>
      <c r="M72" s="18"/>
      <c r="N72" s="22"/>
      <c r="O72" s="22"/>
      <c r="P72" s="161"/>
      <c r="Q72" s="35"/>
      <c r="R72" s="36"/>
      <c r="S72" s="150"/>
      <c r="T72" s="35"/>
      <c r="U72" s="36"/>
      <c r="V72" s="23"/>
      <c r="W72" s="23"/>
    </row>
    <row r="73" outlineLevel="1">
      <c r="A73" s="22"/>
      <c r="B73" s="22"/>
      <c r="C73" s="43"/>
      <c r="D73" s="22"/>
      <c r="E73" s="152" t="s">
        <v>199</v>
      </c>
      <c r="F73" s="35"/>
      <c r="G73" s="35"/>
      <c r="H73" s="35"/>
      <c r="I73" s="35"/>
      <c r="J73" s="35"/>
      <c r="K73" s="153"/>
      <c r="L73" s="211" t="str">
        <f>IF(L39="commute","Often",IF(L39="professional travel","Yes",IF(OR(L39="Federal Mobility Budget",L39="EV Charging &amp; Fuel"),"No",L39)))</f>
        <v/>
      </c>
      <c r="M73" s="165"/>
      <c r="N73" s="22"/>
      <c r="O73" s="22"/>
      <c r="P73" s="169"/>
      <c r="Q73" s="35"/>
      <c r="R73" s="36"/>
      <c r="S73" s="150"/>
      <c r="T73" s="35"/>
      <c r="U73" s="36"/>
      <c r="V73" s="23"/>
      <c r="W73" s="23"/>
    </row>
    <row r="74" outlineLevel="2">
      <c r="A74" s="22"/>
      <c r="B74" s="22"/>
      <c r="C74" s="43"/>
      <c r="D74" s="22"/>
      <c r="E74" s="182" t="s">
        <v>194</v>
      </c>
      <c r="F74" s="183"/>
      <c r="G74" s="183"/>
      <c r="H74" s="183"/>
      <c r="I74" s="183"/>
      <c r="J74" s="184"/>
      <c r="K74" s="185" t="str">
        <f>IF(OR(L73="Yes",L73="Often"),"0.43","") </f>
        <v/>
      </c>
      <c r="L74" s="186"/>
      <c r="M74" s="187" t="str">
        <f t="shared" ref="M74:M75" si="4">K74</f>
        <v/>
      </c>
      <c r="N74" s="22"/>
      <c r="O74" s="22"/>
      <c r="P74" s="161"/>
      <c r="Q74" s="35"/>
      <c r="R74" s="36"/>
      <c r="S74" s="150"/>
      <c r="T74" s="35"/>
      <c r="U74" s="36"/>
      <c r="V74" s="23"/>
      <c r="W74" s="23"/>
    </row>
    <row r="75" outlineLevel="2">
      <c r="A75" s="22"/>
      <c r="B75" s="22"/>
      <c r="C75" s="43"/>
      <c r="D75" s="22"/>
      <c r="E75" s="188" t="s">
        <v>195</v>
      </c>
      <c r="F75" s="189"/>
      <c r="G75" s="189"/>
      <c r="H75" s="189"/>
      <c r="I75" s="189"/>
      <c r="J75" s="190"/>
      <c r="K75" s="191" t="str">
        <f>IF(OR(L73="Yes",L73="Often"),"250","") </f>
        <v/>
      </c>
      <c r="L75" s="192"/>
      <c r="M75" s="187" t="str">
        <f t="shared" si="4"/>
        <v/>
      </c>
      <c r="N75" s="22"/>
      <c r="O75" s="22"/>
      <c r="P75" s="161"/>
      <c r="Q75" s="35"/>
      <c r="R75" s="36"/>
      <c r="S75" s="150"/>
      <c r="T75" s="35"/>
      <c r="U75" s="36"/>
      <c r="V75" s="23"/>
      <c r="W75" s="23"/>
    </row>
    <row r="76" outlineLevel="2">
      <c r="A76" s="22"/>
      <c r="B76" s="22"/>
      <c r="C76" s="43"/>
      <c r="D76" s="22"/>
      <c r="E76" s="188" t="s">
        <v>196</v>
      </c>
      <c r="F76" s="189"/>
      <c r="G76" s="189"/>
      <c r="H76" s="189"/>
      <c r="I76" s="189"/>
      <c r="J76" s="190"/>
      <c r="K76" s="191" t="str">
        <f>IF(OR(L73="Yes",L73="Often"),"No don't allow","") </f>
        <v/>
      </c>
      <c r="L76" s="192"/>
      <c r="M76" s="18"/>
      <c r="N76" s="22"/>
      <c r="O76" s="22"/>
      <c r="P76" s="161"/>
      <c r="Q76" s="35"/>
      <c r="R76" s="36"/>
      <c r="S76" s="150"/>
      <c r="T76" s="35"/>
      <c r="U76" s="36"/>
      <c r="V76" s="23"/>
      <c r="W76" s="23"/>
    </row>
    <row r="77" outlineLevel="2">
      <c r="A77" s="22"/>
      <c r="B77" s="22"/>
      <c r="C77" s="43"/>
      <c r="D77" s="22"/>
      <c r="E77" s="194" t="s">
        <v>197</v>
      </c>
      <c r="F77" s="195"/>
      <c r="G77" s="195"/>
      <c r="H77" s="195"/>
      <c r="I77" s="195"/>
      <c r="J77" s="196"/>
      <c r="K77" s="197" t="str">
        <f>IF(OR(L73="Yes",L73="Often"),"No auto-approved","") </f>
        <v/>
      </c>
      <c r="L77" s="198"/>
      <c r="M77" s="18"/>
      <c r="N77" s="22"/>
      <c r="O77" s="22"/>
      <c r="P77" s="161"/>
      <c r="Q77" s="35"/>
      <c r="R77" s="36"/>
      <c r="S77" s="150"/>
      <c r="T77" s="35"/>
      <c r="U77" s="36"/>
      <c r="V77" s="23"/>
      <c r="W77" s="23"/>
    </row>
    <row r="78" outlineLevel="1">
      <c r="A78" s="22"/>
      <c r="B78" s="22"/>
      <c r="C78" s="43"/>
      <c r="D78" s="22"/>
      <c r="E78" s="162" t="s">
        <v>200</v>
      </c>
      <c r="F78" s="35"/>
      <c r="G78" s="35"/>
      <c r="H78" s="35"/>
      <c r="I78" s="35"/>
      <c r="J78" s="35"/>
      <c r="K78" s="199"/>
      <c r="L78" s="200" t="str">
        <f>IF(L39="Commute","Yes",IF(L39="Federal Mobility Budget","Often",IF(OR(L39="Professional Travel",L39="EV Charging &amp; Fuel"),"No",L39)))</f>
        <v/>
      </c>
      <c r="M78" s="165"/>
      <c r="N78" s="22"/>
      <c r="O78" s="22"/>
      <c r="P78" s="161"/>
      <c r="Q78" s="35"/>
      <c r="R78" s="36"/>
      <c r="S78" s="150"/>
      <c r="T78" s="35"/>
      <c r="U78" s="36"/>
      <c r="V78" s="23"/>
      <c r="W78" s="23"/>
    </row>
    <row r="79" outlineLevel="2">
      <c r="A79" s="22"/>
      <c r="B79" s="22"/>
      <c r="C79" s="43"/>
      <c r="D79" s="22"/>
      <c r="E79" s="173" t="s">
        <v>194</v>
      </c>
      <c r="F79" s="201"/>
      <c r="G79" s="201"/>
      <c r="H79" s="201"/>
      <c r="I79" s="201"/>
      <c r="J79" s="202"/>
      <c r="K79" s="203" t="str">
        <f>IF(OR(L78="Yes",L78="Often"),"0.36","") </f>
        <v/>
      </c>
      <c r="L79" s="204"/>
      <c r="M79" s="187" t="str">
        <f t="shared" ref="M79:M80" si="5">K79</f>
        <v/>
      </c>
      <c r="N79" s="22"/>
      <c r="O79" s="22"/>
      <c r="P79" s="150"/>
      <c r="Q79" s="35"/>
      <c r="R79" s="36"/>
      <c r="S79" s="150"/>
      <c r="T79" s="35"/>
      <c r="U79" s="36"/>
      <c r="V79" s="23"/>
      <c r="W79" s="23"/>
    </row>
    <row r="80" outlineLevel="2">
      <c r="A80" s="22"/>
      <c r="B80" s="22"/>
      <c r="C80" s="43"/>
      <c r="D80" s="22"/>
      <c r="E80" s="205" t="s">
        <v>195</v>
      </c>
      <c r="F80" s="206"/>
      <c r="G80" s="206"/>
      <c r="H80" s="206"/>
      <c r="I80" s="206"/>
      <c r="J80" s="207"/>
      <c r="K80" s="176" t="str">
        <f>IF(OR(L78="Yes",L78="Often"),"15","") </f>
        <v/>
      </c>
      <c r="L80" s="208"/>
      <c r="M80" s="187" t="str">
        <f t="shared" si="5"/>
        <v/>
      </c>
      <c r="N80" s="22"/>
      <c r="O80" s="22"/>
      <c r="P80" s="150"/>
      <c r="Q80" s="35"/>
      <c r="R80" s="36"/>
      <c r="S80" s="150"/>
      <c r="T80" s="35"/>
      <c r="U80" s="36"/>
      <c r="V80" s="23"/>
      <c r="W80" s="23"/>
    </row>
    <row r="81" outlineLevel="2">
      <c r="A81" s="22"/>
      <c r="B81" s="22"/>
      <c r="C81" s="43"/>
      <c r="D81" s="22"/>
      <c r="E81" s="205" t="s">
        <v>196</v>
      </c>
      <c r="F81" s="206"/>
      <c r="G81" s="206"/>
      <c r="H81" s="206"/>
      <c r="I81" s="206"/>
      <c r="J81" s="207"/>
      <c r="K81" s="176" t="str">
        <f>IF(OR(L78="Yes",L78="Often"),"No don't allow","") </f>
        <v/>
      </c>
      <c r="L81" s="208"/>
      <c r="M81" s="18"/>
      <c r="N81" s="22"/>
      <c r="O81" s="22"/>
      <c r="P81" s="150"/>
      <c r="Q81" s="35"/>
      <c r="R81" s="36"/>
      <c r="S81" s="150"/>
      <c r="T81" s="35"/>
      <c r="U81" s="36"/>
      <c r="V81" s="23"/>
      <c r="W81" s="23"/>
    </row>
    <row r="82" outlineLevel="2">
      <c r="A82" s="22"/>
      <c r="B82" s="22"/>
      <c r="C82" s="43"/>
      <c r="D82" s="22"/>
      <c r="E82" s="178" t="s">
        <v>197</v>
      </c>
      <c r="F82" s="209"/>
      <c r="G82" s="209"/>
      <c r="H82" s="209"/>
      <c r="I82" s="209"/>
      <c r="J82" s="210"/>
      <c r="K82" s="176" t="str">
        <f>IF(OR(L78="Yes",L78="Often"),"No auto-approved","") </f>
        <v/>
      </c>
      <c r="L82" s="208"/>
      <c r="M82" s="18"/>
      <c r="N82" s="22"/>
      <c r="O82" s="22"/>
      <c r="P82" s="150"/>
      <c r="Q82" s="35"/>
      <c r="R82" s="36"/>
      <c r="S82" s="150"/>
      <c r="T82" s="35"/>
      <c r="U82" s="36"/>
      <c r="V82" s="23"/>
      <c r="W82" s="23"/>
    </row>
    <row r="83">
      <c r="A83" s="146" t="s">
        <v>201</v>
      </c>
      <c r="B83" s="146"/>
      <c r="C83" s="147"/>
      <c r="D83" s="22"/>
      <c r="E83" s="148" t="s">
        <v>202</v>
      </c>
      <c r="F83" s="35"/>
      <c r="G83" s="35"/>
      <c r="H83" s="35"/>
      <c r="I83" s="35"/>
      <c r="J83" s="35"/>
      <c r="K83" s="35"/>
      <c r="L83" s="35"/>
      <c r="M83" s="36"/>
      <c r="N83" s="22"/>
      <c r="O83" s="22"/>
      <c r="P83" s="150"/>
      <c r="Q83" s="35"/>
      <c r="R83" s="36"/>
      <c r="S83" s="150"/>
      <c r="T83" s="35"/>
      <c r="U83" s="36"/>
      <c r="V83" s="23"/>
      <c r="W83" s="23"/>
    </row>
    <row r="84" outlineLevel="1">
      <c r="A84" s="22"/>
      <c r="B84" s="22"/>
      <c r="C84" s="43"/>
      <c r="D84" s="22"/>
      <c r="E84" s="212" t="s">
        <v>203</v>
      </c>
      <c r="F84" s="10"/>
      <c r="G84" s="10"/>
      <c r="H84" s="10"/>
      <c r="I84" s="10"/>
      <c r="J84" s="10"/>
      <c r="K84" s="10"/>
      <c r="L84" s="213"/>
      <c r="M84" s="214" t="s">
        <v>204</v>
      </c>
      <c r="N84" s="22"/>
      <c r="O84" s="22"/>
      <c r="P84" s="150"/>
      <c r="Q84" s="35"/>
      <c r="R84" s="36"/>
      <c r="S84" s="150"/>
      <c r="T84" s="35"/>
      <c r="U84" s="36"/>
      <c r="V84" s="23"/>
      <c r="W84" s="23"/>
    </row>
    <row r="85" outlineLevel="1">
      <c r="A85" s="22"/>
      <c r="B85" s="22"/>
      <c r="C85" s="43"/>
      <c r="D85" s="23"/>
      <c r="E85" s="215" t="s">
        <v>205</v>
      </c>
      <c r="F85" s="216"/>
      <c r="G85" s="216"/>
      <c r="H85" s="216"/>
      <c r="I85" s="216"/>
      <c r="J85" s="216"/>
      <c r="K85" s="216"/>
      <c r="L85" s="216"/>
      <c r="M85" s="217"/>
      <c r="N85" s="24"/>
      <c r="O85" s="22"/>
      <c r="P85" s="150"/>
      <c r="Q85" s="35"/>
      <c r="R85" s="36"/>
      <c r="S85" s="150"/>
      <c r="T85" s="35"/>
      <c r="U85" s="36"/>
      <c r="V85" s="23"/>
      <c r="W85" s="23"/>
    </row>
    <row r="86" outlineLevel="2">
      <c r="A86" s="218"/>
      <c r="B86" s="218"/>
      <c r="C86" s="219"/>
      <c r="D86" s="23"/>
      <c r="E86" s="220"/>
      <c r="F86" s="221" t="s">
        <v>206</v>
      </c>
      <c r="G86" s="222"/>
      <c r="H86" s="223"/>
      <c r="I86" s="223"/>
      <c r="J86" s="223"/>
      <c r="K86" s="223" t="s">
        <v>207</v>
      </c>
      <c r="L86" s="224" t="s">
        <v>208</v>
      </c>
      <c r="M86" s="225"/>
      <c r="N86" s="24"/>
      <c r="O86" s="22"/>
      <c r="P86" s="150"/>
      <c r="Q86" s="35"/>
      <c r="R86" s="36"/>
      <c r="S86" s="172"/>
      <c r="T86" s="172"/>
      <c r="U86" s="172"/>
      <c r="V86" s="23"/>
      <c r="W86" s="23"/>
    </row>
    <row r="87" outlineLevel="2">
      <c r="A87" s="218"/>
      <c r="B87" s="218"/>
      <c r="C87" s="219"/>
      <c r="D87" s="23"/>
      <c r="E87" s="220"/>
      <c r="F87" s="221" t="s">
        <v>209</v>
      </c>
      <c r="G87" s="222"/>
      <c r="H87" s="223"/>
      <c r="I87" s="223"/>
      <c r="J87" s="223"/>
      <c r="K87" s="223" t="s">
        <v>210</v>
      </c>
      <c r="L87" s="224" t="s">
        <v>211</v>
      </c>
      <c r="M87" s="225"/>
      <c r="N87" s="24"/>
      <c r="O87" s="22"/>
      <c r="P87" s="150"/>
      <c r="Q87" s="35"/>
      <c r="R87" s="36"/>
      <c r="S87" s="172"/>
      <c r="T87" s="172"/>
      <c r="U87" s="172"/>
      <c r="V87" s="23"/>
      <c r="W87" s="23"/>
    </row>
    <row r="88" outlineLevel="2">
      <c r="A88" s="218"/>
      <c r="B88" s="218"/>
      <c r="C88" s="219"/>
      <c r="D88" s="23"/>
      <c r="E88" s="220"/>
      <c r="F88" s="221" t="s">
        <v>212</v>
      </c>
      <c r="G88" s="222"/>
      <c r="H88" s="226" t="s">
        <v>213</v>
      </c>
      <c r="I88" s="189"/>
      <c r="J88" s="189"/>
      <c r="K88" s="190"/>
      <c r="L88" s="227"/>
      <c r="M88" s="225"/>
      <c r="N88" s="24"/>
      <c r="O88" s="22"/>
      <c r="P88" s="150"/>
      <c r="Q88" s="35"/>
      <c r="R88" s="36"/>
      <c r="S88" s="150"/>
      <c r="T88" s="35"/>
      <c r="U88" s="36"/>
      <c r="V88" s="23"/>
      <c r="W88" s="23"/>
    </row>
    <row r="89" outlineLevel="2">
      <c r="A89" s="218"/>
      <c r="B89" s="218"/>
      <c r="C89" s="219"/>
      <c r="D89" s="23"/>
      <c r="E89" s="220"/>
      <c r="F89" s="221" t="s">
        <v>214</v>
      </c>
      <c r="G89" s="222"/>
      <c r="H89" s="222"/>
      <c r="I89" s="226" t="s">
        <v>215</v>
      </c>
      <c r="J89" s="189"/>
      <c r="K89" s="190"/>
      <c r="L89" s="227"/>
      <c r="M89" s="225"/>
      <c r="N89" s="24"/>
      <c r="O89" s="22"/>
      <c r="P89" s="150"/>
      <c r="Q89" s="35"/>
      <c r="R89" s="36"/>
      <c r="S89" s="150"/>
      <c r="T89" s="35"/>
      <c r="U89" s="36"/>
      <c r="V89" s="23"/>
      <c r="W89" s="23"/>
    </row>
    <row r="90" outlineLevel="2">
      <c r="A90" s="218"/>
      <c r="B90" s="218"/>
      <c r="C90" s="219"/>
      <c r="D90" s="23"/>
      <c r="E90" s="220"/>
      <c r="F90" s="228" t="s">
        <v>216</v>
      </c>
      <c r="G90" s="222"/>
      <c r="H90" s="222"/>
      <c r="I90" s="223"/>
      <c r="J90" s="223"/>
      <c r="K90" s="223" t="s">
        <v>217</v>
      </c>
      <c r="L90" s="227"/>
      <c r="M90" s="225"/>
      <c r="N90" s="24"/>
      <c r="O90" s="22"/>
      <c r="P90" s="150"/>
      <c r="Q90" s="35"/>
      <c r="R90" s="36"/>
      <c r="S90" s="172"/>
      <c r="T90" s="172"/>
      <c r="U90" s="172"/>
      <c r="V90" s="23"/>
      <c r="W90" s="23"/>
    </row>
    <row r="91" outlineLevel="2">
      <c r="A91" s="218"/>
      <c r="B91" s="218"/>
      <c r="C91" s="219"/>
      <c r="D91" s="229"/>
      <c r="E91" s="230"/>
      <c r="F91" s="228" t="s">
        <v>218</v>
      </c>
      <c r="G91" s="231" t="s">
        <v>219</v>
      </c>
      <c r="H91" s="189"/>
      <c r="I91" s="189"/>
      <c r="J91" s="189"/>
      <c r="K91" s="190"/>
      <c r="L91" s="227"/>
      <c r="M91" s="225"/>
      <c r="N91" s="232"/>
      <c r="O91" s="22"/>
      <c r="P91" s="150"/>
      <c r="Q91" s="35"/>
      <c r="R91" s="36"/>
      <c r="S91" s="150"/>
      <c r="T91" s="35"/>
      <c r="U91" s="36"/>
      <c r="V91" s="229"/>
      <c r="W91" s="229"/>
    </row>
    <row r="92" outlineLevel="2">
      <c r="A92" s="218"/>
      <c r="B92" s="233"/>
      <c r="C92" s="234"/>
      <c r="D92" s="229"/>
      <c r="E92" s="230"/>
      <c r="F92" s="228" t="s">
        <v>220</v>
      </c>
      <c r="G92" s="235"/>
      <c r="H92" s="231" t="s">
        <v>221</v>
      </c>
      <c r="I92" s="189"/>
      <c r="J92" s="189"/>
      <c r="K92" s="190"/>
      <c r="L92" s="236"/>
      <c r="M92" s="237"/>
      <c r="N92" s="232"/>
      <c r="O92" s="22"/>
      <c r="P92" s="150"/>
      <c r="Q92" s="35"/>
      <c r="R92" s="36"/>
      <c r="S92" s="172"/>
      <c r="T92" s="172"/>
      <c r="U92" s="172"/>
      <c r="V92" s="229"/>
      <c r="W92" s="229"/>
    </row>
    <row r="93" outlineLevel="2">
      <c r="A93" s="238"/>
      <c r="B93" s="239"/>
      <c r="C93" s="240"/>
      <c r="D93" s="241"/>
      <c r="E93" s="242"/>
      <c r="F93" s="243" t="s">
        <v>222</v>
      </c>
      <c r="G93" s="244"/>
      <c r="H93" s="245"/>
      <c r="I93" s="245"/>
      <c r="J93" s="245"/>
      <c r="K93" s="246" t="s">
        <v>223</v>
      </c>
      <c r="L93" s="247"/>
      <c r="M93" s="248"/>
      <c r="N93" s="232"/>
      <c r="O93" s="22"/>
      <c r="P93" s="150"/>
      <c r="Q93" s="35"/>
      <c r="R93" s="36"/>
      <c r="S93" s="172"/>
      <c r="T93" s="172"/>
      <c r="U93" s="172"/>
      <c r="V93" s="229"/>
      <c r="W93" s="229"/>
    </row>
    <row r="94" outlineLevel="1">
      <c r="A94" s="249"/>
      <c r="B94" s="250"/>
      <c r="C94" s="251"/>
      <c r="D94" s="252"/>
      <c r="E94" s="215" t="s">
        <v>224</v>
      </c>
      <c r="F94" s="216"/>
      <c r="G94" s="216"/>
      <c r="H94" s="216"/>
      <c r="I94" s="216"/>
      <c r="J94" s="216"/>
      <c r="K94" s="216"/>
      <c r="L94" s="216"/>
      <c r="M94" s="217"/>
      <c r="N94" s="253"/>
      <c r="O94" s="22"/>
      <c r="P94" s="150"/>
      <c r="Q94" s="35"/>
      <c r="R94" s="36"/>
      <c r="S94" s="150"/>
      <c r="T94" s="35"/>
      <c r="U94" s="36"/>
      <c r="V94" s="23"/>
      <c r="W94" s="23"/>
    </row>
    <row r="95" outlineLevel="2">
      <c r="A95" s="254"/>
      <c r="B95" s="250"/>
      <c r="C95" s="255"/>
      <c r="D95" s="256"/>
      <c r="E95" s="257" t="s">
        <v>225</v>
      </c>
      <c r="F95" s="190"/>
      <c r="G95" s="258" t="s">
        <v>226</v>
      </c>
      <c r="H95" s="258" t="s">
        <v>226</v>
      </c>
      <c r="I95" s="258" t="s">
        <v>227</v>
      </c>
      <c r="J95" s="258" t="s">
        <v>228</v>
      </c>
      <c r="K95" s="258" t="s">
        <v>229</v>
      </c>
      <c r="L95" s="258" t="s">
        <v>230</v>
      </c>
      <c r="M95" s="259" t="s">
        <v>231</v>
      </c>
      <c r="N95" s="260"/>
      <c r="O95" s="22"/>
      <c r="P95" s="150"/>
      <c r="Q95" s="35"/>
      <c r="R95" s="36"/>
      <c r="S95" s="172"/>
      <c r="T95" s="172"/>
      <c r="U95" s="172"/>
      <c r="V95" s="23"/>
      <c r="W95" s="23"/>
    </row>
    <row r="96" outlineLevel="2">
      <c r="A96" s="261"/>
      <c r="B96" s="255"/>
      <c r="C96" s="219"/>
      <c r="D96" s="12"/>
      <c r="E96" s="262" t="s">
        <v>207</v>
      </c>
      <c r="F96" s="196"/>
      <c r="G96" s="263" t="s">
        <v>232</v>
      </c>
      <c r="H96" s="263" t="s">
        <v>233</v>
      </c>
      <c r="I96" s="263" t="s">
        <v>234</v>
      </c>
      <c r="J96" s="263" t="s">
        <v>235</v>
      </c>
      <c r="K96" s="263" t="s">
        <v>236</v>
      </c>
      <c r="L96" s="263" t="s">
        <v>237</v>
      </c>
      <c r="M96" s="264" t="s">
        <v>237</v>
      </c>
      <c r="N96" s="260"/>
      <c r="O96" s="22"/>
      <c r="P96" s="150"/>
      <c r="Q96" s="35"/>
      <c r="R96" s="36"/>
      <c r="S96" s="172"/>
      <c r="T96" s="172"/>
      <c r="U96" s="172"/>
      <c r="V96" s="23"/>
      <c r="W96" s="23"/>
    </row>
    <row r="97" outlineLevel="2">
      <c r="A97" s="218"/>
      <c r="B97" s="218"/>
      <c r="C97" s="219"/>
      <c r="D97" s="12"/>
      <c r="E97" s="265"/>
      <c r="F97" s="36"/>
      <c r="G97" s="106"/>
      <c r="H97" s="266"/>
      <c r="I97" s="18"/>
      <c r="J97" s="106"/>
      <c r="K97" s="168"/>
      <c r="L97" s="106"/>
      <c r="M97" s="267"/>
      <c r="N97" s="260"/>
      <c r="O97" s="22"/>
      <c r="P97" s="268"/>
      <c r="Q97" s="35"/>
      <c r="R97" s="36"/>
      <c r="S97" s="150"/>
      <c r="T97" s="35"/>
      <c r="U97" s="36"/>
      <c r="V97" s="23"/>
      <c r="W97" s="23"/>
    </row>
    <row r="98" outlineLevel="2">
      <c r="A98" s="218"/>
      <c r="B98" s="218"/>
      <c r="C98" s="43"/>
      <c r="D98" s="12"/>
      <c r="E98" s="265"/>
      <c r="F98" s="36"/>
      <c r="G98" s="106"/>
      <c r="H98" s="266"/>
      <c r="I98" s="18"/>
      <c r="J98" s="18"/>
      <c r="K98" s="165"/>
      <c r="L98" s="18"/>
      <c r="M98" s="269"/>
      <c r="N98" s="260"/>
      <c r="O98" s="22"/>
      <c r="P98" s="268"/>
      <c r="Q98" s="35"/>
      <c r="R98" s="36"/>
      <c r="S98" s="150"/>
      <c r="T98" s="35"/>
      <c r="U98" s="36"/>
      <c r="V98" s="23"/>
      <c r="W98" s="23"/>
    </row>
    <row r="99" outlineLevel="2">
      <c r="A99" s="22"/>
      <c r="B99" s="22"/>
      <c r="C99" s="43"/>
      <c r="D99" s="12"/>
      <c r="E99" s="265"/>
      <c r="F99" s="36"/>
      <c r="G99" s="106"/>
      <c r="H99" s="266"/>
      <c r="I99" s="18"/>
      <c r="J99" s="18"/>
      <c r="K99" s="165"/>
      <c r="L99" s="18"/>
      <c r="M99" s="269"/>
      <c r="N99" s="260"/>
      <c r="O99" s="22"/>
      <c r="P99" s="150"/>
      <c r="Q99" s="35"/>
      <c r="R99" s="36"/>
      <c r="S99" s="150"/>
      <c r="T99" s="35"/>
      <c r="U99" s="36"/>
      <c r="V99" s="23"/>
      <c r="W99" s="23"/>
    </row>
    <row r="100" outlineLevel="2">
      <c r="A100" s="22"/>
      <c r="B100" s="22"/>
      <c r="C100" s="219"/>
      <c r="D100" s="12"/>
      <c r="E100" s="265"/>
      <c r="F100" s="36"/>
      <c r="G100" s="106"/>
      <c r="H100" s="270"/>
      <c r="I100" s="18"/>
      <c r="J100" s="18"/>
      <c r="K100" s="165"/>
      <c r="L100" s="18"/>
      <c r="M100" s="269"/>
      <c r="N100" s="260"/>
      <c r="O100" s="22"/>
      <c r="P100" s="150"/>
      <c r="Q100" s="35"/>
      <c r="R100" s="36"/>
      <c r="S100" s="150"/>
      <c r="T100" s="35"/>
      <c r="U100" s="36"/>
      <c r="V100" s="23"/>
      <c r="W100" s="23"/>
    </row>
    <row r="101" outlineLevel="2">
      <c r="A101" s="218"/>
      <c r="B101" s="218"/>
      <c r="C101" s="219"/>
      <c r="D101" s="12"/>
      <c r="E101" s="265"/>
      <c r="F101" s="36"/>
      <c r="G101" s="18"/>
      <c r="H101" s="270"/>
      <c r="I101" s="18"/>
      <c r="J101" s="18"/>
      <c r="K101" s="165"/>
      <c r="L101" s="18"/>
      <c r="M101" s="269"/>
      <c r="N101" s="260"/>
      <c r="O101" s="22"/>
      <c r="P101" s="150"/>
      <c r="Q101" s="35"/>
      <c r="R101" s="36"/>
      <c r="S101" s="150"/>
      <c r="T101" s="35"/>
      <c r="U101" s="36"/>
      <c r="V101" s="23"/>
      <c r="W101" s="23"/>
    </row>
    <row r="102" outlineLevel="2">
      <c r="A102" s="218"/>
      <c r="B102" s="218"/>
      <c r="C102" s="219"/>
      <c r="D102" s="12"/>
      <c r="E102" s="265"/>
      <c r="F102" s="36"/>
      <c r="G102" s="18"/>
      <c r="H102" s="270"/>
      <c r="I102" s="18"/>
      <c r="J102" s="18"/>
      <c r="K102" s="165"/>
      <c r="L102" s="18"/>
      <c r="M102" s="269"/>
      <c r="N102" s="260"/>
      <c r="O102" s="22"/>
      <c r="P102" s="150"/>
      <c r="Q102" s="35"/>
      <c r="R102" s="36"/>
      <c r="S102" s="150"/>
      <c r="T102" s="35"/>
      <c r="U102" s="36"/>
      <c r="V102" s="23"/>
      <c r="W102" s="23"/>
    </row>
    <row r="103" outlineLevel="2">
      <c r="A103" s="218"/>
      <c r="B103" s="218"/>
      <c r="C103" s="219"/>
      <c r="D103" s="12"/>
      <c r="E103" s="265"/>
      <c r="F103" s="36"/>
      <c r="G103" s="18"/>
      <c r="H103" s="270"/>
      <c r="I103" s="18"/>
      <c r="J103" s="18"/>
      <c r="K103" s="165"/>
      <c r="L103" s="18"/>
      <c r="M103" s="269"/>
      <c r="N103" s="260"/>
      <c r="O103" s="22"/>
      <c r="P103" s="150"/>
      <c r="Q103" s="35"/>
      <c r="R103" s="36"/>
      <c r="S103" s="150"/>
      <c r="T103" s="35"/>
      <c r="U103" s="36"/>
      <c r="V103" s="23"/>
      <c r="W103" s="23"/>
    </row>
    <row r="104" outlineLevel="2">
      <c r="A104" s="218"/>
      <c r="B104" s="218"/>
      <c r="C104" s="219"/>
      <c r="D104" s="271"/>
      <c r="E104" s="272"/>
      <c r="F104" s="273"/>
      <c r="G104" s="274"/>
      <c r="H104" s="275"/>
      <c r="I104" s="274"/>
      <c r="J104" s="274"/>
      <c r="K104" s="276"/>
      <c r="L104" s="274"/>
      <c r="M104" s="277"/>
      <c r="N104" s="260"/>
      <c r="O104" s="22"/>
      <c r="P104" s="150"/>
      <c r="Q104" s="35"/>
      <c r="R104" s="36"/>
      <c r="S104" s="150"/>
      <c r="T104" s="35"/>
      <c r="U104" s="36"/>
      <c r="V104" s="23"/>
      <c r="W104" s="23"/>
    </row>
    <row r="105">
      <c r="A105" s="146" t="s">
        <v>238</v>
      </c>
      <c r="B105" s="146"/>
      <c r="C105" s="147"/>
      <c r="D105" s="278"/>
      <c r="E105" s="148" t="s">
        <v>239</v>
      </c>
      <c r="F105" s="35"/>
      <c r="G105" s="35"/>
      <c r="H105" s="35"/>
      <c r="I105" s="35"/>
      <c r="J105" s="35"/>
      <c r="K105" s="35"/>
      <c r="L105" s="35"/>
      <c r="M105" s="36"/>
      <c r="N105" s="278"/>
      <c r="O105" s="22"/>
      <c r="P105" s="150"/>
      <c r="Q105" s="35"/>
      <c r="R105" s="36"/>
      <c r="S105" s="150"/>
      <c r="T105" s="35"/>
      <c r="U105" s="36"/>
      <c r="V105" s="23"/>
      <c r="W105" s="23"/>
    </row>
    <row r="106" outlineLevel="1">
      <c r="A106" s="22"/>
      <c r="B106" s="22"/>
      <c r="C106" s="43"/>
      <c r="D106" s="278"/>
      <c r="E106" s="279" t="s">
        <v>240</v>
      </c>
      <c r="F106" s="35"/>
      <c r="G106" s="35"/>
      <c r="H106" s="35"/>
      <c r="I106" s="153"/>
      <c r="J106" s="280" t="s">
        <v>241</v>
      </c>
      <c r="K106" s="35"/>
      <c r="L106" s="36"/>
      <c r="M106" s="266"/>
      <c r="N106" s="281"/>
      <c r="O106" s="22"/>
      <c r="P106" s="150"/>
      <c r="Q106" s="35"/>
      <c r="R106" s="36"/>
      <c r="S106" s="150"/>
      <c r="T106" s="35"/>
      <c r="U106" s="36"/>
      <c r="V106" s="23"/>
      <c r="W106" s="23"/>
    </row>
    <row r="107" outlineLevel="1">
      <c r="A107" s="22"/>
      <c r="B107" s="22"/>
      <c r="C107" s="22"/>
      <c r="D107" s="281"/>
      <c r="E107" s="279" t="s">
        <v>242</v>
      </c>
      <c r="F107" s="35"/>
      <c r="G107" s="35"/>
      <c r="H107" s="35"/>
      <c r="I107" s="35"/>
      <c r="J107" s="282"/>
      <c r="K107" s="283" t="s">
        <v>243</v>
      </c>
      <c r="L107" s="36"/>
      <c r="M107" s="266"/>
      <c r="N107" s="22"/>
      <c r="O107" s="22"/>
      <c r="P107" s="150"/>
      <c r="Q107" s="35"/>
      <c r="R107" s="36"/>
      <c r="S107" s="150"/>
      <c r="T107" s="35"/>
      <c r="U107" s="36"/>
      <c r="V107" s="23"/>
      <c r="W107" s="23"/>
    </row>
    <row r="108" outlineLevel="1">
      <c r="A108" s="22"/>
      <c r="B108" s="22"/>
      <c r="C108" s="22"/>
      <c r="D108" s="22"/>
      <c r="E108" s="279" t="s">
        <v>244</v>
      </c>
      <c r="F108" s="35"/>
      <c r="G108" s="35"/>
      <c r="H108" s="35"/>
      <c r="I108" s="282"/>
      <c r="J108" s="283" t="s">
        <v>245</v>
      </c>
      <c r="K108" s="35"/>
      <c r="L108" s="36"/>
      <c r="M108" s="266"/>
      <c r="N108" s="22"/>
      <c r="O108" s="22"/>
      <c r="P108" s="150"/>
      <c r="Q108" s="35"/>
      <c r="R108" s="36"/>
      <c r="S108" s="150"/>
      <c r="T108" s="35"/>
      <c r="U108" s="36"/>
      <c r="V108" s="23"/>
      <c r="W108" s="23"/>
    </row>
    <row r="109" outlineLevel="1">
      <c r="A109" s="22"/>
      <c r="B109" s="22"/>
      <c r="C109" s="22"/>
      <c r="D109" s="22"/>
      <c r="E109" s="279" t="s">
        <v>246</v>
      </c>
      <c r="F109" s="284"/>
      <c r="G109" s="285"/>
      <c r="H109" s="286" t="s">
        <v>247</v>
      </c>
      <c r="I109" s="35"/>
      <c r="J109" s="153"/>
      <c r="K109" s="287" t="s">
        <v>248</v>
      </c>
      <c r="L109" s="36"/>
      <c r="M109" s="288"/>
      <c r="N109" s="22"/>
      <c r="O109" s="22"/>
      <c r="P109" s="268"/>
      <c r="Q109" s="35"/>
      <c r="R109" s="36"/>
      <c r="S109" s="150"/>
      <c r="T109" s="35"/>
      <c r="U109" s="36"/>
      <c r="V109" s="23"/>
      <c r="W109" s="23"/>
    </row>
    <row r="110" outlineLevel="1">
      <c r="A110" s="22"/>
      <c r="B110" s="22"/>
      <c r="C110" s="22"/>
      <c r="D110" s="22"/>
      <c r="E110" s="279" t="s">
        <v>249</v>
      </c>
      <c r="F110" s="35"/>
      <c r="G110" s="153"/>
      <c r="H110" s="286" t="s">
        <v>250</v>
      </c>
      <c r="I110" s="35"/>
      <c r="J110" s="153"/>
      <c r="K110" s="287" t="s">
        <v>251</v>
      </c>
      <c r="L110" s="36"/>
      <c r="M110" s="289"/>
      <c r="N110" s="22"/>
      <c r="O110" s="22"/>
      <c r="P110" s="268"/>
      <c r="Q110" s="35"/>
      <c r="R110" s="36"/>
      <c r="S110" s="150"/>
      <c r="T110" s="35"/>
      <c r="U110" s="36"/>
      <c r="V110" s="23"/>
      <c r="W110" s="23"/>
    </row>
    <row r="111" outlineLevel="1">
      <c r="A111" s="22"/>
      <c r="B111" s="22"/>
      <c r="C111" s="22"/>
      <c r="D111" s="22"/>
      <c r="E111" s="290" t="s">
        <v>252</v>
      </c>
      <c r="F111" s="10"/>
      <c r="G111" s="10"/>
      <c r="H111" s="10"/>
      <c r="I111" s="10"/>
      <c r="J111" s="10"/>
      <c r="K111" s="10"/>
      <c r="L111" s="10"/>
      <c r="M111" s="11"/>
      <c r="N111" s="22"/>
      <c r="O111" s="22"/>
      <c r="P111" s="150"/>
      <c r="Q111" s="35"/>
      <c r="R111" s="36"/>
      <c r="S111" s="150"/>
      <c r="T111" s="35"/>
      <c r="U111" s="36"/>
      <c r="V111" s="23"/>
      <c r="W111" s="23"/>
    </row>
    <row r="112" outlineLevel="1">
      <c r="A112" s="22"/>
      <c r="B112" s="22"/>
      <c r="C112" s="22"/>
      <c r="D112" s="22"/>
      <c r="E112" s="291" t="s">
        <v>253</v>
      </c>
      <c r="F112" s="292"/>
      <c r="G112" s="292"/>
      <c r="H112" s="292"/>
      <c r="I112" s="286" t="s">
        <v>254</v>
      </c>
      <c r="J112" s="35"/>
      <c r="K112" s="35"/>
      <c r="L112" s="36"/>
      <c r="M112" s="106"/>
      <c r="N112" s="22"/>
      <c r="O112" s="22"/>
      <c r="P112" s="268"/>
      <c r="Q112" s="35"/>
      <c r="R112" s="36"/>
      <c r="S112" s="150"/>
      <c r="T112" s="35"/>
      <c r="U112" s="36"/>
      <c r="V112" s="23"/>
      <c r="W112" s="23"/>
    </row>
    <row r="113" outlineLevel="1">
      <c r="A113" s="22"/>
      <c r="B113" s="22"/>
      <c r="C113" s="22"/>
      <c r="D113" s="22"/>
      <c r="E113" s="293" t="s">
        <v>255</v>
      </c>
      <c r="F113" s="35"/>
      <c r="G113" s="35"/>
      <c r="H113" s="35"/>
      <c r="I113" s="35"/>
      <c r="J113" s="35"/>
      <c r="K113" s="35"/>
      <c r="L113" s="36"/>
      <c r="M113" s="266"/>
      <c r="N113" s="22"/>
      <c r="O113" s="22"/>
      <c r="P113" s="150"/>
      <c r="Q113" s="35"/>
      <c r="R113" s="36"/>
      <c r="S113" s="150"/>
      <c r="T113" s="35"/>
      <c r="U113" s="36"/>
      <c r="V113" s="23"/>
      <c r="W113" s="23"/>
    </row>
    <row r="114" outlineLevel="1">
      <c r="A114" s="22"/>
      <c r="B114" s="22"/>
      <c r="C114" s="22"/>
      <c r="D114" s="22"/>
      <c r="E114" s="294" t="s">
        <v>256</v>
      </c>
      <c r="F114" s="35"/>
      <c r="G114" s="35"/>
      <c r="H114" s="35"/>
      <c r="I114" s="35"/>
      <c r="J114" s="35"/>
      <c r="K114" s="35"/>
      <c r="L114" s="35"/>
      <c r="M114" s="36"/>
      <c r="N114" s="22"/>
      <c r="O114" s="22"/>
      <c r="P114" s="150"/>
      <c r="Q114" s="35"/>
      <c r="R114" s="36"/>
      <c r="S114" s="150"/>
      <c r="T114" s="35"/>
      <c r="U114" s="36"/>
      <c r="V114" s="23"/>
      <c r="W114" s="23"/>
    </row>
    <row r="115" outlineLevel="1">
      <c r="A115" s="22"/>
      <c r="B115" s="22"/>
      <c r="C115" s="22"/>
      <c r="D115" s="22"/>
      <c r="E115" s="295"/>
      <c r="F115" s="10"/>
      <c r="G115" s="10"/>
      <c r="H115" s="10"/>
      <c r="I115" s="10"/>
      <c r="J115" s="10"/>
      <c r="K115" s="10"/>
      <c r="L115" s="10"/>
      <c r="M115" s="11"/>
      <c r="N115" s="22"/>
      <c r="O115" s="22"/>
      <c r="P115" s="150"/>
      <c r="Q115" s="35"/>
      <c r="R115" s="36"/>
      <c r="S115" s="150"/>
      <c r="T115" s="35"/>
      <c r="U115" s="36"/>
      <c r="V115" s="23"/>
      <c r="W115" s="23"/>
    </row>
    <row r="116" outlineLevel="1">
      <c r="A116" s="22"/>
      <c r="B116" s="22"/>
      <c r="C116" s="22"/>
      <c r="D116" s="22"/>
      <c r="E116" s="14"/>
      <c r="F116" s="15"/>
      <c r="G116" s="15"/>
      <c r="H116" s="15"/>
      <c r="I116" s="15"/>
      <c r="J116" s="15"/>
      <c r="K116" s="15"/>
      <c r="L116" s="15"/>
      <c r="M116" s="16"/>
      <c r="N116" s="22"/>
      <c r="O116" s="22"/>
      <c r="P116" s="150"/>
      <c r="Q116" s="35"/>
      <c r="R116" s="36"/>
      <c r="S116" s="150"/>
      <c r="T116" s="35"/>
      <c r="U116" s="36"/>
      <c r="V116" s="23"/>
      <c r="W116" s="23"/>
    </row>
    <row r="117" outlineLevel="1">
      <c r="A117" s="22"/>
      <c r="B117" s="22"/>
      <c r="C117" s="22"/>
      <c r="D117" s="22"/>
      <c r="E117" s="291" t="s">
        <v>257</v>
      </c>
      <c r="F117" s="292"/>
      <c r="G117" s="296"/>
      <c r="H117" s="280" t="s">
        <v>258</v>
      </c>
      <c r="I117" s="35"/>
      <c r="J117" s="35"/>
      <c r="K117" s="35"/>
      <c r="L117" s="35"/>
      <c r="M117" s="106"/>
      <c r="N117" s="22"/>
      <c r="O117" s="22"/>
      <c r="P117" s="150"/>
      <c r="Q117" s="35"/>
      <c r="R117" s="36"/>
      <c r="S117" s="150"/>
      <c r="T117" s="35"/>
      <c r="U117" s="36"/>
      <c r="V117" s="23"/>
      <c r="W117" s="23"/>
    </row>
    <row r="118" outlineLevel="1">
      <c r="A118" s="22"/>
      <c r="B118" s="22"/>
      <c r="C118" s="22"/>
      <c r="D118" s="22"/>
      <c r="E118" s="291" t="s">
        <v>259</v>
      </c>
      <c r="F118" s="296"/>
      <c r="G118" s="280" t="s">
        <v>260</v>
      </c>
      <c r="H118" s="35"/>
      <c r="I118" s="35"/>
      <c r="J118" s="35"/>
      <c r="K118" s="35"/>
      <c r="L118" s="35"/>
      <c r="M118" s="106"/>
      <c r="N118" s="22"/>
      <c r="O118" s="22"/>
      <c r="P118" s="150"/>
      <c r="Q118" s="35"/>
      <c r="R118" s="36"/>
      <c r="S118" s="150"/>
      <c r="T118" s="35"/>
      <c r="U118" s="36"/>
      <c r="V118" s="23"/>
      <c r="W118" s="23"/>
    </row>
    <row r="119" outlineLevel="1">
      <c r="A119" s="297"/>
      <c r="B119" s="297"/>
      <c r="C119" s="43"/>
      <c r="D119" s="43"/>
      <c r="E119" s="298" t="s">
        <v>261</v>
      </c>
      <c r="F119" s="35"/>
      <c r="G119" s="35"/>
      <c r="H119" s="35"/>
      <c r="I119" s="35"/>
      <c r="J119" s="35"/>
      <c r="K119" s="35"/>
      <c r="L119" s="35"/>
      <c r="M119" s="36"/>
      <c r="N119" s="297"/>
      <c r="O119" s="297"/>
      <c r="P119" s="46"/>
      <c r="Q119" s="35"/>
      <c r="R119" s="36"/>
      <c r="S119" s="46"/>
      <c r="T119" s="35"/>
      <c r="U119" s="36"/>
      <c r="V119" s="299"/>
      <c r="W119" s="299"/>
    </row>
    <row r="120" outlineLevel="1">
      <c r="A120" s="297"/>
      <c r="B120" s="297"/>
      <c r="C120" s="43"/>
      <c r="D120" s="43"/>
      <c r="E120" s="298" t="s">
        <v>262</v>
      </c>
      <c r="F120" s="35"/>
      <c r="G120" s="35"/>
      <c r="H120" s="35"/>
      <c r="I120" s="35"/>
      <c r="J120" s="35"/>
      <c r="K120" s="35"/>
      <c r="L120" s="35"/>
      <c r="M120" s="36"/>
      <c r="N120" s="297"/>
      <c r="O120" s="297"/>
      <c r="P120" s="46"/>
      <c r="Q120" s="35"/>
      <c r="R120" s="36"/>
      <c r="S120" s="46"/>
      <c r="T120" s="35"/>
      <c r="U120" s="36"/>
      <c r="V120" s="299"/>
      <c r="W120" s="299"/>
    </row>
    <row r="121">
      <c r="A121" s="300"/>
      <c r="B121" s="300"/>
      <c r="C121" s="300"/>
      <c r="D121" s="300"/>
      <c r="E121" s="300"/>
      <c r="F121" s="300"/>
      <c r="G121" s="300"/>
      <c r="H121" s="300"/>
      <c r="I121" s="300"/>
      <c r="J121" s="300"/>
      <c r="K121" s="300"/>
      <c r="L121" s="300"/>
      <c r="M121" s="300"/>
      <c r="N121" s="300"/>
      <c r="O121" s="300"/>
      <c r="P121" s="300"/>
      <c r="Q121" s="300"/>
      <c r="R121" s="300"/>
      <c r="S121" s="300"/>
      <c r="T121" s="300"/>
      <c r="U121" s="141"/>
      <c r="V121" s="141"/>
      <c r="W121" s="141"/>
    </row>
    <row r="122">
      <c r="A122" s="301"/>
      <c r="B122" s="301"/>
      <c r="C122" s="301"/>
      <c r="D122" s="301"/>
      <c r="E122" s="301"/>
      <c r="F122" s="301"/>
      <c r="G122" s="301"/>
      <c r="H122" s="301"/>
      <c r="I122" s="301"/>
      <c r="J122" s="301"/>
      <c r="K122" s="301"/>
      <c r="L122" s="301"/>
      <c r="M122" s="301"/>
      <c r="N122" s="301"/>
      <c r="O122" s="301"/>
      <c r="P122" s="301"/>
      <c r="Q122" s="301"/>
      <c r="R122" s="301"/>
      <c r="S122" s="301"/>
      <c r="T122" s="301"/>
      <c r="U122" s="301"/>
      <c r="V122" s="301"/>
      <c r="W122" s="301"/>
    </row>
    <row r="123">
      <c r="A123" s="22"/>
      <c r="B123" s="22"/>
      <c r="C123" s="22"/>
      <c r="D123" s="22"/>
      <c r="E123" s="22"/>
      <c r="F123" s="22"/>
      <c r="G123" s="22"/>
      <c r="H123" s="22"/>
      <c r="I123" s="22"/>
      <c r="J123" s="22"/>
      <c r="K123" s="22"/>
      <c r="L123" s="22"/>
      <c r="M123" s="22"/>
      <c r="N123" s="22"/>
      <c r="O123" s="22"/>
      <c r="P123" s="22"/>
      <c r="Q123" s="22"/>
      <c r="R123" s="22"/>
      <c r="S123" s="22"/>
      <c r="T123" s="22"/>
      <c r="U123" s="23"/>
      <c r="V123" s="23"/>
      <c r="W123" s="23"/>
    </row>
    <row r="124">
      <c r="A124" s="22"/>
      <c r="B124" s="22"/>
      <c r="C124" s="22"/>
      <c r="D124" s="22"/>
      <c r="E124" s="22"/>
      <c r="F124" s="22"/>
      <c r="G124" s="22"/>
      <c r="H124" s="22"/>
      <c r="I124" s="22"/>
      <c r="J124" s="22"/>
      <c r="K124" s="22"/>
      <c r="L124" s="22"/>
      <c r="M124" s="22"/>
      <c r="N124" s="22"/>
      <c r="O124" s="22"/>
      <c r="P124" s="22"/>
      <c r="Q124" s="22"/>
      <c r="R124" s="22"/>
      <c r="S124" s="22"/>
      <c r="T124" s="22"/>
      <c r="U124" s="23"/>
      <c r="V124" s="23"/>
      <c r="W124" s="23"/>
    </row>
    <row r="125">
      <c r="A125" s="22"/>
      <c r="B125" s="22"/>
      <c r="C125" s="22"/>
      <c r="D125" s="22"/>
      <c r="E125" s="26" t="s">
        <v>263</v>
      </c>
      <c r="F125" s="22"/>
      <c r="G125" s="22"/>
      <c r="H125" s="22"/>
      <c r="I125" s="22"/>
      <c r="J125" s="22"/>
      <c r="K125" s="22"/>
      <c r="L125" s="22"/>
      <c r="M125" s="22"/>
      <c r="N125" s="22"/>
      <c r="O125" s="22"/>
      <c r="P125" s="22"/>
      <c r="Q125" s="22"/>
      <c r="R125" s="22"/>
      <c r="S125" s="22"/>
      <c r="T125" s="22"/>
      <c r="U125" s="23"/>
      <c r="V125" s="23"/>
      <c r="W125" s="23"/>
    </row>
    <row r="126">
      <c r="A126" s="22"/>
      <c r="B126" s="22"/>
      <c r="C126" s="22"/>
      <c r="D126" s="22"/>
      <c r="E126" s="26" t="s">
        <v>264</v>
      </c>
      <c r="F126" s="22"/>
      <c r="G126" s="22"/>
      <c r="H126" s="22"/>
      <c r="I126" s="22"/>
      <c r="J126" s="22"/>
      <c r="K126" s="22"/>
      <c r="L126" s="22"/>
      <c r="M126" s="22"/>
      <c r="N126" s="22"/>
      <c r="O126" s="22"/>
      <c r="P126" s="22"/>
      <c r="Q126" s="22"/>
      <c r="R126" s="22"/>
      <c r="S126" s="22"/>
      <c r="T126" s="22"/>
      <c r="U126" s="23"/>
      <c r="V126" s="23"/>
      <c r="W126" s="23"/>
    </row>
    <row r="127">
      <c r="A127" s="22"/>
      <c r="B127" s="22"/>
      <c r="C127" s="22"/>
      <c r="D127" s="22"/>
      <c r="E127" s="22"/>
      <c r="F127" s="22"/>
      <c r="G127" s="22"/>
      <c r="H127" s="22"/>
      <c r="I127" s="22"/>
      <c r="J127" s="22"/>
      <c r="K127" s="22"/>
      <c r="L127" s="22"/>
      <c r="M127" s="22"/>
      <c r="N127" s="22"/>
      <c r="O127" s="22"/>
      <c r="P127" s="22"/>
      <c r="Q127" s="22"/>
      <c r="R127" s="22"/>
      <c r="S127" s="22"/>
      <c r="T127" s="22"/>
      <c r="U127" s="23"/>
      <c r="V127" s="23"/>
      <c r="W127" s="23"/>
    </row>
    <row r="128">
      <c r="A128" s="22"/>
      <c r="B128" s="22"/>
      <c r="C128" s="22"/>
      <c r="D128" s="22"/>
      <c r="E128" s="22"/>
      <c r="F128" s="22"/>
      <c r="G128" s="22"/>
      <c r="H128" s="22"/>
      <c r="I128" s="22"/>
      <c r="J128" s="22"/>
      <c r="K128" s="22"/>
      <c r="L128" s="22"/>
      <c r="M128" s="22"/>
      <c r="N128" s="22"/>
      <c r="O128" s="22"/>
      <c r="P128" s="22"/>
      <c r="Q128" s="22"/>
      <c r="R128" s="22"/>
      <c r="S128" s="22"/>
      <c r="T128" s="22"/>
      <c r="U128" s="23"/>
      <c r="V128" s="23"/>
      <c r="W128" s="23"/>
    </row>
    <row r="129">
      <c r="A129" s="22"/>
      <c r="B129" s="22"/>
      <c r="C129" s="22"/>
      <c r="D129" s="22"/>
      <c r="E129" s="144" t="s">
        <v>265</v>
      </c>
      <c r="F129" s="10"/>
      <c r="G129" s="10"/>
      <c r="H129" s="10"/>
      <c r="I129" s="11"/>
      <c r="J129" s="22"/>
      <c r="K129" s="22"/>
      <c r="L129" s="22"/>
      <c r="M129" s="22"/>
      <c r="N129" s="22"/>
      <c r="O129" s="22"/>
      <c r="P129" s="22"/>
      <c r="Q129" s="22"/>
      <c r="R129" s="22"/>
      <c r="S129" s="22"/>
      <c r="T129" s="22"/>
      <c r="U129" s="23"/>
      <c r="V129" s="23"/>
      <c r="W129" s="23"/>
    </row>
    <row r="130" ht="18.75" customHeight="1">
      <c r="A130" s="22"/>
      <c r="B130" s="22"/>
      <c r="C130" s="22"/>
      <c r="D130" s="22"/>
      <c r="E130" s="14"/>
      <c r="F130" s="15"/>
      <c r="G130" s="15"/>
      <c r="H130" s="15"/>
      <c r="I130" s="16"/>
      <c r="J130" s="22"/>
      <c r="K130" s="22"/>
      <c r="L130" s="22"/>
      <c r="M130" s="22"/>
      <c r="N130" s="22"/>
      <c r="O130" s="22"/>
      <c r="P130" s="22"/>
      <c r="Q130" s="22"/>
      <c r="R130" s="22"/>
      <c r="S130" s="22"/>
      <c r="T130" s="22"/>
      <c r="U130" s="23"/>
      <c r="V130" s="23"/>
      <c r="W130" s="23"/>
    </row>
    <row r="131">
      <c r="A131" s="22"/>
      <c r="B131" s="22"/>
      <c r="C131" s="22"/>
      <c r="D131" s="22"/>
      <c r="E131" s="22"/>
      <c r="F131" s="22"/>
      <c r="G131" s="22"/>
      <c r="H131" s="22"/>
      <c r="I131" s="22"/>
      <c r="J131" s="22"/>
      <c r="K131" s="22"/>
      <c r="L131" s="22"/>
      <c r="M131" s="22"/>
      <c r="N131" s="22"/>
      <c r="O131" s="22"/>
      <c r="P131" s="145" t="s">
        <v>161</v>
      </c>
      <c r="Q131" s="35"/>
      <c r="R131" s="36"/>
      <c r="S131" s="145" t="s">
        <v>162</v>
      </c>
      <c r="T131" s="35"/>
      <c r="U131" s="36"/>
      <c r="W131" s="23"/>
    </row>
    <row r="132" collapsed="1">
      <c r="A132" s="146" t="s">
        <v>266</v>
      </c>
      <c r="B132" s="146"/>
      <c r="C132" s="147"/>
      <c r="D132" s="278"/>
      <c r="E132" s="148" t="s">
        <v>164</v>
      </c>
      <c r="F132" s="35"/>
      <c r="G132" s="35"/>
      <c r="H132" s="36"/>
      <c r="I132" s="302"/>
      <c r="J132" s="35"/>
      <c r="K132" s="35"/>
      <c r="L132" s="35"/>
      <c r="M132" s="36"/>
      <c r="N132" s="22"/>
      <c r="O132" s="22"/>
      <c r="P132" s="150"/>
      <c r="Q132" s="35"/>
      <c r="R132" s="36"/>
      <c r="S132" s="150"/>
      <c r="T132" s="35"/>
      <c r="U132" s="36"/>
      <c r="V132" s="23"/>
      <c r="W132" s="151"/>
    </row>
    <row r="133" hidden="1" outlineLevel="1">
      <c r="A133" s="22"/>
      <c r="B133" s="22"/>
      <c r="C133" s="22"/>
      <c r="D133" s="22"/>
      <c r="E133" s="152" t="s">
        <v>165</v>
      </c>
      <c r="F133" s="35"/>
      <c r="G133" s="35"/>
      <c r="H133" s="35"/>
      <c r="I133" s="153"/>
      <c r="J133" s="154" t="s">
        <v>166</v>
      </c>
      <c r="K133" s="36"/>
      <c r="L133" s="155"/>
      <c r="M133" s="36"/>
      <c r="N133" s="22"/>
      <c r="O133" s="22"/>
      <c r="P133" s="150"/>
      <c r="Q133" s="35"/>
      <c r="R133" s="36"/>
      <c r="S133" s="150"/>
      <c r="T133" s="35"/>
      <c r="U133" s="36"/>
      <c r="V133" s="23"/>
      <c r="W133" s="23"/>
    </row>
    <row r="134" hidden="1" outlineLevel="1">
      <c r="A134" s="45"/>
      <c r="B134" s="43"/>
      <c r="C134" s="43"/>
      <c r="D134" s="43"/>
      <c r="E134" s="303" t="s">
        <v>267</v>
      </c>
      <c r="F134" s="157"/>
      <c r="G134" s="157"/>
      <c r="H134" s="157"/>
      <c r="I134" s="157"/>
      <c r="J134" s="157"/>
      <c r="K134" s="157"/>
      <c r="L134" s="157"/>
      <c r="M134" s="158"/>
      <c r="N134" s="43"/>
      <c r="O134" s="43"/>
      <c r="P134" s="150"/>
      <c r="Q134" s="35"/>
      <c r="R134" s="36"/>
      <c r="S134" s="150"/>
      <c r="T134" s="35"/>
      <c r="U134" s="36"/>
      <c r="V134" s="23"/>
      <c r="W134" s="23"/>
    </row>
    <row r="135" collapsed="1">
      <c r="A135" s="146" t="s">
        <v>268</v>
      </c>
      <c r="B135" s="146"/>
      <c r="C135" s="147"/>
      <c r="D135" s="278"/>
      <c r="E135" s="148" t="s">
        <v>169</v>
      </c>
      <c r="F135" s="35"/>
      <c r="G135" s="35"/>
      <c r="H135" s="35"/>
      <c r="I135" s="35"/>
      <c r="J135" s="35"/>
      <c r="K135" s="35"/>
      <c r="L135" s="159" t="s">
        <v>170</v>
      </c>
      <c r="M135" s="160" t="s">
        <v>171</v>
      </c>
      <c r="N135" s="22"/>
      <c r="O135" s="22"/>
      <c r="P135" s="161"/>
      <c r="Q135" s="35"/>
      <c r="R135" s="36"/>
      <c r="S135" s="150"/>
      <c r="T135" s="35"/>
      <c r="U135" s="36"/>
      <c r="V135" s="23"/>
      <c r="W135" s="23"/>
    </row>
    <row r="136" hidden="1" outlineLevel="1">
      <c r="A136" s="22"/>
      <c r="B136" s="22"/>
      <c r="C136" s="22"/>
      <c r="D136" s="22"/>
      <c r="E136" s="162" t="s">
        <v>172</v>
      </c>
      <c r="F136" s="128"/>
      <c r="G136" s="128"/>
      <c r="H136" s="128"/>
      <c r="I136" s="128"/>
      <c r="J136" s="128"/>
      <c r="K136" s="163"/>
      <c r="L136" s="164" t="str">
        <f>IF(OR(L133="Federal Mobility Budget", L133="Commute", L133="professional travel"), "Yes", IF(L133="EV Charging &amp; Fuel", "No", ""))</f>
        <v/>
      </c>
      <c r="M136" s="165" t="str">
        <f>L136</f>
        <v/>
      </c>
      <c r="N136" s="22"/>
      <c r="O136" s="22"/>
      <c r="P136" s="161"/>
      <c r="Q136" s="35"/>
      <c r="R136" s="36"/>
      <c r="S136" s="150"/>
      <c r="T136" s="35"/>
      <c r="U136" s="36"/>
      <c r="V136" s="23"/>
      <c r="W136" s="23"/>
    </row>
    <row r="137" hidden="1" outlineLevel="1">
      <c r="A137" s="22"/>
      <c r="B137" s="22"/>
      <c r="C137" s="22"/>
      <c r="D137" s="22"/>
      <c r="E137" s="152" t="s">
        <v>173</v>
      </c>
      <c r="F137" s="131"/>
      <c r="G137" s="131"/>
      <c r="H137" s="131"/>
      <c r="I137" s="131"/>
      <c r="J137" s="131"/>
      <c r="K137" s="166"/>
      <c r="L137" s="167" t="str">
        <f>IF(L133="Commute","Often",IF(L133="Federal Mobility Budget","Often",IF(OR(L133="Professional Travel",L133="EV Charging &amp; Fuel"),"No",L133)))</f>
        <v/>
      </c>
      <c r="M137" s="165"/>
      <c r="N137" s="22"/>
      <c r="O137" s="22"/>
      <c r="P137" s="169"/>
      <c r="Q137" s="35"/>
      <c r="R137" s="36"/>
      <c r="S137" s="150"/>
      <c r="T137" s="35"/>
      <c r="U137" s="36"/>
      <c r="V137" s="23"/>
      <c r="W137" s="23"/>
    </row>
    <row r="138" hidden="1" outlineLevel="1">
      <c r="A138" s="22"/>
      <c r="B138" s="22"/>
      <c r="C138" s="22"/>
      <c r="D138" s="22"/>
      <c r="E138" s="162" t="s">
        <v>174</v>
      </c>
      <c r="F138" s="128"/>
      <c r="G138" s="128"/>
      <c r="H138" s="128"/>
      <c r="I138" s="128"/>
      <c r="J138" s="128"/>
      <c r="K138" s="163"/>
      <c r="L138" s="170" t="str">
        <f>IF(OR(L133="Federal Mobility Budget"), "Yes", IF(OR(L133="professional travel", L133="EV Charging &amp; Fuel", L133="Commute"), "No", ""))</f>
        <v/>
      </c>
      <c r="M138" s="165" t="str">
        <f>L138</f>
        <v/>
      </c>
      <c r="N138" s="22"/>
      <c r="O138" s="22"/>
      <c r="P138" s="161"/>
      <c r="Q138" s="35"/>
      <c r="R138" s="36"/>
      <c r="S138" s="150"/>
      <c r="T138" s="35"/>
      <c r="U138" s="36"/>
      <c r="V138" s="23"/>
      <c r="W138" s="23"/>
    </row>
    <row r="139" hidden="1" outlineLevel="1">
      <c r="A139" s="22"/>
      <c r="B139" s="22"/>
      <c r="C139" s="22"/>
      <c r="D139" s="22"/>
      <c r="E139" s="152" t="s">
        <v>175</v>
      </c>
      <c r="F139" s="131"/>
      <c r="G139" s="131"/>
      <c r="H139" s="131"/>
      <c r="I139" s="131"/>
      <c r="J139" s="131"/>
      <c r="K139" s="166"/>
      <c r="L139" s="171" t="str">
        <f>IF(L133="Commute","Often",IF(L133="Federal Mobility Budget","Yes",IF(OR(L133="EV Charging &amp; Fuel",L133="professional travel"),"No","")))
</f>
        <v/>
      </c>
      <c r="M139" s="165"/>
      <c r="N139" s="22"/>
      <c r="O139" s="22"/>
      <c r="P139" s="169"/>
      <c r="Q139" s="35"/>
      <c r="R139" s="36"/>
      <c r="S139" s="150"/>
      <c r="T139" s="35"/>
      <c r="U139" s="36"/>
      <c r="V139" s="23"/>
      <c r="W139" s="23"/>
    </row>
    <row r="140" hidden="1" outlineLevel="1">
      <c r="A140" s="22"/>
      <c r="B140" s="22"/>
      <c r="C140" s="22"/>
      <c r="D140" s="22"/>
      <c r="E140" s="162" t="s">
        <v>176</v>
      </c>
      <c r="F140" s="128"/>
      <c r="G140" s="128"/>
      <c r="H140" s="128"/>
      <c r="I140" s="128"/>
      <c r="J140" s="128"/>
      <c r="K140" s="163"/>
      <c r="L140" s="170" t="str">
        <f>IF(OR(L133="Federal Mobility Budget"), "Yes", IF(OR(L133="professional travel", L133="EV Charging &amp; Fuel", L133="Commute"), "No", ""))</f>
        <v/>
      </c>
      <c r="M140" s="165" t="str">
        <f>L140</f>
        <v/>
      </c>
      <c r="N140" s="22"/>
      <c r="O140" s="22"/>
      <c r="P140" s="161"/>
      <c r="Q140" s="35"/>
      <c r="R140" s="36"/>
      <c r="S140" s="150"/>
      <c r="T140" s="35"/>
      <c r="U140" s="36"/>
      <c r="V140" s="23"/>
      <c r="W140" s="23"/>
    </row>
    <row r="141" hidden="1" outlineLevel="1">
      <c r="A141" s="22"/>
      <c r="B141" s="22"/>
      <c r="C141" s="22"/>
      <c r="D141" s="22"/>
      <c r="E141" s="152" t="s">
        <v>177</v>
      </c>
      <c r="F141" s="131"/>
      <c r="G141" s="131"/>
      <c r="H141" s="131"/>
      <c r="I141" s="131"/>
      <c r="J141" s="131"/>
      <c r="K141" s="166"/>
      <c r="L141" s="171" t="str">
        <f>IF(OR(L133="Federal Mobility Budget"), "Often", IF(OR(L133="professional travel", L133="EV Charging &amp; Fuel", L133="Commute"), "No", ""))</f>
        <v/>
      </c>
      <c r="M141" s="165"/>
      <c r="N141" s="22"/>
      <c r="O141" s="22"/>
      <c r="P141" s="169"/>
      <c r="Q141" s="35"/>
      <c r="R141" s="36"/>
      <c r="S141" s="150"/>
      <c r="T141" s="35"/>
      <c r="U141" s="36"/>
      <c r="V141" s="23"/>
      <c r="W141" s="23"/>
    </row>
    <row r="142" hidden="1" outlineLevel="1">
      <c r="A142" s="22"/>
      <c r="B142" s="22"/>
      <c r="C142" s="22"/>
      <c r="D142" s="22"/>
      <c r="E142" s="162" t="s">
        <v>178</v>
      </c>
      <c r="F142" s="128"/>
      <c r="G142" s="128"/>
      <c r="H142" s="128"/>
      <c r="I142" s="128"/>
      <c r="J142" s="128"/>
      <c r="K142" s="163"/>
      <c r="L142" s="170" t="str">
        <f>IF(OR(L133="Federal Mobility Budget"), "Yes", IF(OR(L133="professional travel", L133="EV Charging &amp; Fuel", L133="Commute"), "No", ""))</f>
        <v/>
      </c>
      <c r="M142" s="165" t="str">
        <f t="shared" ref="M142:M154" si="6">L142</f>
        <v/>
      </c>
      <c r="N142" s="22"/>
      <c r="O142" s="22"/>
      <c r="P142" s="161"/>
      <c r="Q142" s="35"/>
      <c r="R142" s="36"/>
      <c r="S142" s="150"/>
      <c r="T142" s="35"/>
      <c r="U142" s="36"/>
      <c r="V142" s="23"/>
      <c r="W142" s="23"/>
    </row>
    <row r="143" hidden="1" outlineLevel="1">
      <c r="A143" s="22"/>
      <c r="B143" s="22"/>
      <c r="C143" s="22"/>
      <c r="D143" s="22"/>
      <c r="E143" s="152" t="s">
        <v>179</v>
      </c>
      <c r="F143" s="131"/>
      <c r="G143" s="131"/>
      <c r="H143" s="131"/>
      <c r="I143" s="131"/>
      <c r="J143" s="131"/>
      <c r="K143" s="166"/>
      <c r="L143" s="171" t="str">
        <f>IF(OR(L133="Federal Mobility Budget", L133="professional travel"), "Yes", IF(OR(L133="EV Charging &amp; Fuel", L133="Commute"), "No", ""))</f>
        <v/>
      </c>
      <c r="M143" s="165" t="str">
        <f t="shared" si="6"/>
        <v/>
      </c>
      <c r="N143" s="22"/>
      <c r="O143" s="22"/>
      <c r="P143" s="161"/>
      <c r="Q143" s="35"/>
      <c r="R143" s="36"/>
      <c r="S143" s="150"/>
      <c r="T143" s="35"/>
      <c r="U143" s="36"/>
      <c r="V143" s="23"/>
      <c r="W143" s="23"/>
    </row>
    <row r="144" hidden="1" outlineLevel="1">
      <c r="A144" s="22"/>
      <c r="B144" s="22"/>
      <c r="C144" s="22"/>
      <c r="D144" s="22"/>
      <c r="E144" s="162" t="s">
        <v>180</v>
      </c>
      <c r="F144" s="128"/>
      <c r="G144" s="128"/>
      <c r="H144" s="128"/>
      <c r="I144" s="128"/>
      <c r="J144" s="128"/>
      <c r="K144" s="163"/>
      <c r="L144" s="170" t="str">
        <f>IF(OR(L133="Federal Mobility Budget"), "Yes", IF(OR(L133="professional travel", L133="EV Charging &amp; Fuel", L133="Commute"), "No", ""))</f>
        <v/>
      </c>
      <c r="M144" s="165" t="str">
        <f t="shared" si="6"/>
        <v/>
      </c>
      <c r="N144" s="22"/>
      <c r="O144" s="22"/>
      <c r="P144" s="161"/>
      <c r="Q144" s="35"/>
      <c r="R144" s="36"/>
      <c r="S144" s="150"/>
      <c r="T144" s="35"/>
      <c r="U144" s="36"/>
      <c r="V144" s="23"/>
      <c r="W144" s="23"/>
    </row>
    <row r="145" hidden="1" outlineLevel="1">
      <c r="A145" s="22"/>
      <c r="B145" s="22"/>
      <c r="C145" s="22"/>
      <c r="D145" s="22"/>
      <c r="E145" s="152" t="s">
        <v>181</v>
      </c>
      <c r="F145" s="131"/>
      <c r="G145" s="131"/>
      <c r="H145" s="131"/>
      <c r="I145" s="131"/>
      <c r="J145" s="131"/>
      <c r="K145" s="166"/>
      <c r="L145" s="171" t="str">
        <f>IF(OR(L133="Federal Mobility Budget", L133="Commute", L133="professional travel"), "Yes", IF(L133="EV Charging &amp; Fuel", "No", ""))</f>
        <v/>
      </c>
      <c r="M145" s="165" t="str">
        <f t="shared" si="6"/>
        <v/>
      </c>
      <c r="N145" s="22"/>
      <c r="O145" s="22"/>
      <c r="P145" s="161"/>
      <c r="Q145" s="35"/>
      <c r="R145" s="36"/>
      <c r="S145" s="150"/>
      <c r="T145" s="35"/>
      <c r="U145" s="36"/>
      <c r="V145" s="23"/>
      <c r="W145" s="23"/>
    </row>
    <row r="146" hidden="1" outlineLevel="1">
      <c r="A146" s="22"/>
      <c r="B146" s="22"/>
      <c r="C146" s="22"/>
      <c r="D146" s="22"/>
      <c r="E146" s="162" t="s">
        <v>182</v>
      </c>
      <c r="F146" s="128"/>
      <c r="G146" s="128"/>
      <c r="H146" s="128"/>
      <c r="I146" s="128"/>
      <c r="J146" s="128"/>
      <c r="K146" s="163"/>
      <c r="L146" s="170" t="str">
        <f>IF(OR(L133="Federal Mobility Budget", L133="Commute", L133="professional travel"), "Yes", IF(L133="EV Charging &amp; Fuel", "No", ""))</f>
        <v/>
      </c>
      <c r="M146" s="165" t="str">
        <f t="shared" si="6"/>
        <v/>
      </c>
      <c r="N146" s="22"/>
      <c r="O146" s="22"/>
      <c r="P146" s="161"/>
      <c r="Q146" s="35"/>
      <c r="R146" s="36"/>
      <c r="S146" s="150"/>
      <c r="T146" s="35"/>
      <c r="U146" s="36"/>
      <c r="V146" s="23"/>
      <c r="W146" s="23"/>
    </row>
    <row r="147" hidden="1" outlineLevel="1">
      <c r="A147" s="22"/>
      <c r="B147" s="22"/>
      <c r="C147" s="22"/>
      <c r="D147" s="22"/>
      <c r="E147" s="152" t="s">
        <v>183</v>
      </c>
      <c r="F147" s="131"/>
      <c r="G147" s="131"/>
      <c r="H147" s="131"/>
      <c r="I147" s="131"/>
      <c r="J147" s="131"/>
      <c r="K147" s="166"/>
      <c r="L147" s="171" t="str">
        <f>IF(OR(L133="Federal Mobility Budget"), "Yes", IF(OR(L133="professional travel", L133="EV Charging &amp; Fuel", L133="Commute"), "No", ""))</f>
        <v/>
      </c>
      <c r="M147" s="165" t="str">
        <f t="shared" si="6"/>
        <v/>
      </c>
      <c r="N147" s="22"/>
      <c r="O147" s="22"/>
      <c r="P147" s="161"/>
      <c r="Q147" s="35"/>
      <c r="R147" s="36"/>
      <c r="S147" s="150"/>
      <c r="T147" s="35"/>
      <c r="U147" s="36"/>
      <c r="V147" s="23"/>
      <c r="W147" s="23"/>
    </row>
    <row r="148" hidden="1" outlineLevel="1">
      <c r="A148" s="22"/>
      <c r="B148" s="22"/>
      <c r="C148" s="22"/>
      <c r="D148" s="22"/>
      <c r="E148" s="162" t="s">
        <v>184</v>
      </c>
      <c r="F148" s="128"/>
      <c r="G148" s="128"/>
      <c r="H148" s="128"/>
      <c r="I148" s="128"/>
      <c r="J148" s="128"/>
      <c r="K148" s="163"/>
      <c r="L148" s="170" t="str">
        <f>IF(OR(L133="professional travel"), "Yes", IF(OR(L133="Federal Mobility Budget", L133="EV Charging &amp; Fuel", L133="Commute"), "No", ""))</f>
        <v/>
      </c>
      <c r="M148" s="165" t="str">
        <f t="shared" si="6"/>
        <v/>
      </c>
      <c r="N148" s="22"/>
      <c r="O148" s="22"/>
      <c r="P148" s="161"/>
      <c r="Q148" s="35"/>
      <c r="R148" s="36"/>
      <c r="S148" s="150"/>
      <c r="T148" s="35"/>
      <c r="U148" s="36"/>
      <c r="V148" s="23"/>
      <c r="W148" s="23"/>
    </row>
    <row r="149" hidden="1" outlineLevel="1">
      <c r="A149" s="22"/>
      <c r="B149" s="22"/>
      <c r="C149" s="22"/>
      <c r="D149" s="22"/>
      <c r="E149" s="152" t="s">
        <v>185</v>
      </c>
      <c r="F149" s="131"/>
      <c r="G149" s="131"/>
      <c r="H149" s="131"/>
      <c r="I149" s="131"/>
      <c r="J149" s="131"/>
      <c r="K149" s="166"/>
      <c r="L149" s="171" t="str">
        <f>IF(OR(L133="Federal Mobility Budget", L133="Commute", L133="professional travel"), "Yes", IF(L133="EV Charging &amp; Fuel", "No", ""))</f>
        <v/>
      </c>
      <c r="M149" s="165" t="str">
        <f t="shared" si="6"/>
        <v/>
      </c>
      <c r="N149" s="22"/>
      <c r="O149" s="22"/>
      <c r="P149" s="161"/>
      <c r="Q149" s="35"/>
      <c r="R149" s="36"/>
      <c r="S149" s="150"/>
      <c r="T149" s="35"/>
      <c r="U149" s="36"/>
      <c r="V149" s="23"/>
      <c r="W149" s="23"/>
    </row>
    <row r="150" hidden="1" outlineLevel="1">
      <c r="A150" s="22"/>
      <c r="B150" s="22"/>
      <c r="C150" s="22"/>
      <c r="D150" s="22"/>
      <c r="E150" s="162" t="s">
        <v>186</v>
      </c>
      <c r="F150" s="128"/>
      <c r="G150" s="128"/>
      <c r="H150" s="128"/>
      <c r="I150" s="128"/>
      <c r="J150" s="128"/>
      <c r="K150" s="163"/>
      <c r="L150" s="170" t="str">
        <f>IF(OR(L133="Federal Mobility Budget", L133="Commute", L133="professional travel"), "Yes", IF(L133="EV Charging &amp; Fuel", "No", ""))</f>
        <v/>
      </c>
      <c r="M150" s="165" t="str">
        <f t="shared" si="6"/>
        <v/>
      </c>
      <c r="N150" s="22"/>
      <c r="O150" s="22"/>
      <c r="P150" s="161"/>
      <c r="Q150" s="35"/>
      <c r="R150" s="36"/>
      <c r="S150" s="150"/>
      <c r="T150" s="35"/>
      <c r="U150" s="36"/>
      <c r="V150" s="23"/>
      <c r="W150" s="23"/>
    </row>
    <row r="151" hidden="1" outlineLevel="1">
      <c r="A151" s="22"/>
      <c r="B151" s="22"/>
      <c r="C151" s="22"/>
      <c r="D151" s="22"/>
      <c r="E151" s="152" t="s">
        <v>187</v>
      </c>
      <c r="F151" s="131"/>
      <c r="G151" s="131"/>
      <c r="H151" s="131"/>
      <c r="I151" s="131"/>
      <c r="J151" s="131"/>
      <c r="K151" s="166"/>
      <c r="L151" s="171" t="str">
        <f>IF(OR(L133="Federal Mobility Budget", L133="professional travel"), "Yes", IF(OR(L133="EV Charging &amp; Fuel", L133="Commute"), "No", ""))</f>
        <v/>
      </c>
      <c r="M151" s="165" t="str">
        <f t="shared" si="6"/>
        <v/>
      </c>
      <c r="N151" s="22"/>
      <c r="O151" s="22"/>
      <c r="P151" s="161"/>
      <c r="Q151" s="35"/>
      <c r="R151" s="36"/>
      <c r="S151" s="150"/>
      <c r="T151" s="35"/>
      <c r="U151" s="36"/>
      <c r="V151" s="23"/>
      <c r="W151" s="23"/>
    </row>
    <row r="152" hidden="1" outlineLevel="1">
      <c r="A152" s="22"/>
      <c r="B152" s="22"/>
      <c r="C152" s="22"/>
      <c r="D152" s="22"/>
      <c r="E152" s="162" t="s">
        <v>188</v>
      </c>
      <c r="F152" s="128"/>
      <c r="G152" s="128"/>
      <c r="H152" s="128"/>
      <c r="I152" s="128"/>
      <c r="J152" s="128"/>
      <c r="K152" s="163"/>
      <c r="L152" s="170" t="str">
        <f>IF(OR(L133="Federal Mobility Budget", L133="Commute", L133="professional travel"), "No", IF(L133="EV Charging &amp; Fuel", "Yes", ""))</f>
        <v/>
      </c>
      <c r="M152" s="165" t="str">
        <f t="shared" si="6"/>
        <v/>
      </c>
      <c r="N152" s="22"/>
      <c r="O152" s="22"/>
      <c r="P152" s="161"/>
      <c r="Q152" s="35"/>
      <c r="R152" s="36"/>
      <c r="S152" s="150"/>
      <c r="T152" s="35"/>
      <c r="U152" s="36"/>
      <c r="V152" s="23"/>
      <c r="W152" s="23"/>
    </row>
    <row r="153" hidden="1" outlineLevel="1">
      <c r="A153" s="22"/>
      <c r="B153" s="22"/>
      <c r="C153" s="22"/>
      <c r="D153" s="22"/>
      <c r="E153" s="152" t="s">
        <v>189</v>
      </c>
      <c r="F153" s="131"/>
      <c r="G153" s="131"/>
      <c r="H153" s="131"/>
      <c r="I153" s="131"/>
      <c r="J153" s="131"/>
      <c r="K153" s="166"/>
      <c r="L153" s="171" t="str">
        <f>IF(OR(L133="Federal Mobility Budget", L133="Commute", L133="professional travel"), "No", IF(L133="EV Charging &amp; Fuel", "No", ""))</f>
        <v/>
      </c>
      <c r="M153" s="165" t="str">
        <f t="shared" si="6"/>
        <v/>
      </c>
      <c r="N153" s="22"/>
      <c r="O153" s="22"/>
      <c r="P153" s="161"/>
      <c r="Q153" s="35"/>
      <c r="R153" s="36"/>
      <c r="S153" s="150"/>
      <c r="T153" s="35"/>
      <c r="U153" s="36"/>
      <c r="V153" s="23"/>
      <c r="W153" s="23"/>
    </row>
    <row r="154" hidden="1" outlineLevel="1" collapsed="1">
      <c r="A154" s="22"/>
      <c r="B154" s="22"/>
      <c r="C154" s="22"/>
      <c r="D154" s="22"/>
      <c r="E154" s="162" t="s">
        <v>190</v>
      </c>
      <c r="F154" s="128"/>
      <c r="G154" s="128"/>
      <c r="H154" s="128"/>
      <c r="I154" s="128"/>
      <c r="J154" s="128"/>
      <c r="K154" s="163"/>
      <c r="L154" s="170" t="str">
        <f>IF(OR(L133="Federal Mobility Budget"), "Yes", IF(OR(L133="professional travel", L133="EV Charging &amp; Fuel", L133="Commute"), "No", ""))</f>
        <v/>
      </c>
      <c r="M154" s="165" t="str">
        <f t="shared" si="6"/>
        <v/>
      </c>
      <c r="N154" s="22"/>
      <c r="O154" s="22"/>
      <c r="P154" s="161"/>
      <c r="Q154" s="35"/>
      <c r="R154" s="36"/>
      <c r="S154" s="172"/>
      <c r="T154" s="172"/>
      <c r="U154" s="172"/>
      <c r="V154" s="23"/>
      <c r="W154" s="23"/>
    </row>
    <row r="155" hidden="1" outlineLevel="2">
      <c r="A155" s="22"/>
      <c r="B155" s="22"/>
      <c r="C155" s="22"/>
      <c r="D155" s="22"/>
      <c r="E155" s="173" t="s">
        <v>191</v>
      </c>
      <c r="F155" s="174"/>
      <c r="G155" s="174"/>
      <c r="H155" s="174"/>
      <c r="I155" s="174"/>
      <c r="J155" s="175"/>
      <c r="K155" s="176" t="str">
        <f>IF((L154="Yes"),"Yes allow","") </f>
        <v/>
      </c>
      <c r="L155" s="177"/>
      <c r="M155" s="18"/>
      <c r="N155" s="22"/>
      <c r="O155" s="22"/>
      <c r="P155" s="161"/>
      <c r="Q155" s="35"/>
      <c r="R155" s="36"/>
      <c r="S155" s="172"/>
      <c r="T155" s="172"/>
      <c r="U155" s="172"/>
      <c r="V155" s="23"/>
      <c r="W155" s="23"/>
    </row>
    <row r="156" hidden="1" outlineLevel="2">
      <c r="A156" s="22"/>
      <c r="B156" s="22"/>
      <c r="C156" s="22"/>
      <c r="D156" s="22"/>
      <c r="E156" s="178" t="s">
        <v>192</v>
      </c>
      <c r="F156" s="179"/>
      <c r="G156" s="179"/>
      <c r="H156" s="179"/>
      <c r="I156" s="179"/>
      <c r="J156" s="180"/>
      <c r="K156" s="304" t="str">
        <f>IF((L154="Yes"),"Yes allow","") </f>
        <v/>
      </c>
      <c r="L156" s="305"/>
      <c r="M156" s="18"/>
      <c r="N156" s="22"/>
      <c r="O156" s="22"/>
      <c r="P156" s="161"/>
      <c r="Q156" s="35"/>
      <c r="R156" s="36"/>
      <c r="S156" s="172"/>
      <c r="T156" s="172"/>
      <c r="U156" s="172"/>
      <c r="V156" s="23"/>
      <c r="W156" s="23"/>
    </row>
    <row r="157" hidden="1" outlineLevel="1" collapsed="1">
      <c r="A157" s="22"/>
      <c r="B157" s="22"/>
      <c r="C157" s="22"/>
      <c r="D157" s="22"/>
      <c r="E157" s="152" t="s">
        <v>269</v>
      </c>
      <c r="F157" s="131"/>
      <c r="G157" s="131"/>
      <c r="H157" s="131"/>
      <c r="I157" s="131"/>
      <c r="J157" s="131"/>
      <c r="K157" s="166"/>
      <c r="L157" s="171" t="str">
        <f>IF(OR(L133="Federal Mobility Budget", L133="Commute", L133="professional travel"), "Yes", IF(L133="EV Charging &amp; Fuel", "No", ""))</f>
        <v/>
      </c>
      <c r="M157" s="165" t="str">
        <f>L157</f>
        <v/>
      </c>
      <c r="N157" s="22"/>
      <c r="O157" s="22"/>
      <c r="P157" s="161"/>
      <c r="Q157" s="35"/>
      <c r="R157" s="36"/>
      <c r="S157" s="150"/>
      <c r="T157" s="35"/>
      <c r="U157" s="36"/>
      <c r="V157" s="23"/>
      <c r="W157" s="23"/>
    </row>
    <row r="158" hidden="1" outlineLevel="2">
      <c r="A158" s="22"/>
      <c r="B158" s="22"/>
      <c r="C158" s="22"/>
      <c r="D158" s="22"/>
      <c r="E158" s="182" t="s">
        <v>194</v>
      </c>
      <c r="F158" s="183"/>
      <c r="G158" s="183"/>
      <c r="H158" s="183"/>
      <c r="I158" s="183"/>
      <c r="J158" s="184"/>
      <c r="K158" s="185" t="str">
        <f>IF(OR(L157="Yes",L157="Often"),"0.37","") </f>
        <v/>
      </c>
      <c r="L158" s="186"/>
      <c r="M158" s="187" t="str">
        <f t="shared" ref="M158:M159" si="7">K158</f>
        <v/>
      </c>
      <c r="N158" s="22"/>
      <c r="O158" s="22"/>
      <c r="P158" s="161"/>
      <c r="Q158" s="35"/>
      <c r="R158" s="36"/>
      <c r="S158" s="150"/>
      <c r="T158" s="35"/>
      <c r="U158" s="36"/>
      <c r="V158" s="23"/>
      <c r="W158" s="23"/>
    </row>
    <row r="159" hidden="1" outlineLevel="2">
      <c r="A159" s="22"/>
      <c r="B159" s="22"/>
      <c r="C159" s="22"/>
      <c r="D159" s="22"/>
      <c r="E159" s="188" t="s">
        <v>195</v>
      </c>
      <c r="F159" s="189"/>
      <c r="G159" s="189"/>
      <c r="H159" s="189"/>
      <c r="I159" s="189"/>
      <c r="J159" s="190"/>
      <c r="K159" s="191" t="str">
        <f>IF(OR(L157="Yes",L157="Often"),"120","") </f>
        <v/>
      </c>
      <c r="L159" s="192"/>
      <c r="M159" s="193" t="str">
        <f t="shared" si="7"/>
        <v/>
      </c>
      <c r="N159" s="22"/>
      <c r="O159" s="22"/>
      <c r="P159" s="161"/>
      <c r="Q159" s="35"/>
      <c r="R159" s="36"/>
      <c r="S159" s="150"/>
      <c r="T159" s="35"/>
      <c r="U159" s="36"/>
      <c r="V159" s="23"/>
      <c r="W159" s="23"/>
    </row>
    <row r="160" hidden="1" outlineLevel="2">
      <c r="A160" s="22"/>
      <c r="B160" s="22"/>
      <c r="C160" s="22"/>
      <c r="D160" s="22"/>
      <c r="E160" s="188" t="s">
        <v>196</v>
      </c>
      <c r="F160" s="189"/>
      <c r="G160" s="189"/>
      <c r="H160" s="189"/>
      <c r="I160" s="189"/>
      <c r="J160" s="190"/>
      <c r="K160" s="191" t="str">
        <f>IF(OR(L157="Yes",L157="Often"),"No don't allow","") </f>
        <v/>
      </c>
      <c r="L160" s="192"/>
      <c r="M160" s="18"/>
      <c r="N160" s="22"/>
      <c r="O160" s="22"/>
      <c r="P160" s="161"/>
      <c r="Q160" s="35"/>
      <c r="R160" s="36"/>
      <c r="S160" s="150"/>
      <c r="T160" s="35"/>
      <c r="U160" s="36"/>
      <c r="V160" s="23"/>
      <c r="W160" s="23"/>
    </row>
    <row r="161" hidden="1" outlineLevel="2">
      <c r="A161" s="22"/>
      <c r="B161" s="22"/>
      <c r="C161" s="22"/>
      <c r="D161" s="22"/>
      <c r="E161" s="194" t="s">
        <v>197</v>
      </c>
      <c r="F161" s="195"/>
      <c r="G161" s="195"/>
      <c r="H161" s="195"/>
      <c r="I161" s="195"/>
      <c r="J161" s="196"/>
      <c r="K161" s="197" t="str">
        <f>IF(OR(L157="Yes",L157="Often"),"No auto-approved","") </f>
        <v/>
      </c>
      <c r="L161" s="198"/>
      <c r="M161" s="18"/>
      <c r="N161" s="22"/>
      <c r="O161" s="22"/>
      <c r="P161" s="161"/>
      <c r="Q161" s="35"/>
      <c r="R161" s="36"/>
      <c r="S161" s="150"/>
      <c r="T161" s="35"/>
      <c r="U161" s="36"/>
      <c r="V161" s="23"/>
      <c r="W161" s="23"/>
    </row>
    <row r="162" hidden="1" outlineLevel="1" collapsed="1">
      <c r="A162" s="22"/>
      <c r="B162" s="22"/>
      <c r="C162" s="22"/>
      <c r="D162" s="22"/>
      <c r="E162" s="162" t="s">
        <v>270</v>
      </c>
      <c r="F162" s="35"/>
      <c r="G162" s="35"/>
      <c r="H162" s="35"/>
      <c r="I162" s="35"/>
      <c r="J162" s="35"/>
      <c r="K162" s="199"/>
      <c r="L162" s="200" t="str">
        <f>IF(OR(L133="professional travel", L133="Commute"), "Yes", IF(OR(L133="Federal Mobility Budget", L133="EV Charging &amp; Fuel"), "No", ""))</f>
        <v/>
      </c>
      <c r="M162" s="165" t="str">
        <f>L162</f>
        <v/>
      </c>
      <c r="N162" s="22"/>
      <c r="O162" s="22"/>
      <c r="P162" s="161"/>
      <c r="Q162" s="35"/>
      <c r="R162" s="36"/>
      <c r="S162" s="150"/>
      <c r="T162" s="35"/>
      <c r="U162" s="36"/>
      <c r="V162" s="23"/>
      <c r="W162" s="23"/>
    </row>
    <row r="163" hidden="1" outlineLevel="2">
      <c r="A163" s="22"/>
      <c r="B163" s="22"/>
      <c r="C163" s="22"/>
      <c r="D163" s="22"/>
      <c r="E163" s="173" t="s">
        <v>194</v>
      </c>
      <c r="F163" s="201"/>
      <c r="G163" s="201"/>
      <c r="H163" s="201"/>
      <c r="I163" s="201"/>
      <c r="J163" s="202"/>
      <c r="K163" s="203" t="str">
        <f>IF(OR(L162="Yes",L162="Often"),"0.43","") </f>
        <v/>
      </c>
      <c r="L163" s="204"/>
      <c r="M163" s="187" t="str">
        <f t="shared" ref="M163:M164" si="8">K163</f>
        <v/>
      </c>
      <c r="N163" s="22"/>
      <c r="O163" s="22"/>
      <c r="P163" s="161"/>
      <c r="Q163" s="35"/>
      <c r="R163" s="36"/>
      <c r="S163" s="150"/>
      <c r="T163" s="35"/>
      <c r="U163" s="36"/>
      <c r="V163" s="23"/>
      <c r="W163" s="23"/>
    </row>
    <row r="164" hidden="1" outlineLevel="2">
      <c r="A164" s="22"/>
      <c r="B164" s="22"/>
      <c r="C164" s="22"/>
      <c r="D164" s="22"/>
      <c r="E164" s="205" t="s">
        <v>195</v>
      </c>
      <c r="F164" s="206"/>
      <c r="G164" s="206"/>
      <c r="H164" s="206"/>
      <c r="I164" s="206"/>
      <c r="J164" s="207"/>
      <c r="K164" s="176" t="str">
        <f>IF(OR(L162="Yes",L162="Often"),"250","") </f>
        <v/>
      </c>
      <c r="L164" s="208"/>
      <c r="M164" s="187" t="str">
        <f t="shared" si="8"/>
        <v/>
      </c>
      <c r="N164" s="22"/>
      <c r="O164" s="22"/>
      <c r="P164" s="161"/>
      <c r="Q164" s="35"/>
      <c r="R164" s="36"/>
      <c r="S164" s="150"/>
      <c r="T164" s="35"/>
      <c r="U164" s="36"/>
      <c r="V164" s="23"/>
      <c r="W164" s="23"/>
    </row>
    <row r="165" hidden="1" outlineLevel="2">
      <c r="A165" s="22"/>
      <c r="B165" s="22"/>
      <c r="C165" s="22"/>
      <c r="D165" s="22"/>
      <c r="E165" s="205" t="s">
        <v>196</v>
      </c>
      <c r="F165" s="206"/>
      <c r="G165" s="206"/>
      <c r="H165" s="206"/>
      <c r="I165" s="206"/>
      <c r="J165" s="207"/>
      <c r="K165" s="176" t="str">
        <f>IF(OR(L162="Yes",L162="Often"),"No don't allow","") </f>
        <v/>
      </c>
      <c r="L165" s="208"/>
      <c r="M165" s="18"/>
      <c r="N165" s="22"/>
      <c r="O165" s="22"/>
      <c r="P165" s="161"/>
      <c r="Q165" s="35"/>
      <c r="R165" s="36"/>
      <c r="S165" s="150"/>
      <c r="T165" s="35"/>
      <c r="U165" s="36"/>
      <c r="V165" s="23"/>
      <c r="W165" s="23"/>
    </row>
    <row r="166" hidden="1" outlineLevel="2">
      <c r="A166" s="22"/>
      <c r="B166" s="22"/>
      <c r="C166" s="22"/>
      <c r="D166" s="22"/>
      <c r="E166" s="178" t="s">
        <v>197</v>
      </c>
      <c r="F166" s="209"/>
      <c r="G166" s="209"/>
      <c r="H166" s="209"/>
      <c r="I166" s="209"/>
      <c r="J166" s="210"/>
      <c r="K166" s="176" t="str">
        <f>IF(OR(L162="Yes",L162="Often"),"No auto-approved","") </f>
        <v/>
      </c>
      <c r="L166" s="208"/>
      <c r="M166" s="18"/>
      <c r="N166" s="22"/>
      <c r="O166" s="22"/>
      <c r="P166" s="161"/>
      <c r="Q166" s="35"/>
      <c r="R166" s="36"/>
      <c r="S166" s="150"/>
      <c r="T166" s="35"/>
      <c r="U166" s="36"/>
      <c r="V166" s="23"/>
      <c r="W166" s="23"/>
    </row>
    <row r="167" hidden="1" outlineLevel="1" collapsed="1">
      <c r="A167" s="22"/>
      <c r="B167" s="22"/>
      <c r="C167" s="22"/>
      <c r="D167" s="22"/>
      <c r="E167" s="152" t="s">
        <v>271</v>
      </c>
      <c r="F167" s="35"/>
      <c r="G167" s="35"/>
      <c r="H167" s="35"/>
      <c r="I167" s="35"/>
      <c r="J167" s="35"/>
      <c r="K167" s="153"/>
      <c r="L167" s="211" t="str">
        <f>IF(L133="commute","Often",IF(L133="professional travel","Yes",IF(OR(L133="Federal Mobility Budget",L133="EV Charging &amp; Fuel"),"No",L133)))</f>
        <v/>
      </c>
      <c r="M167" s="165"/>
      <c r="N167" s="22"/>
      <c r="O167" s="22"/>
      <c r="P167" s="169"/>
      <c r="Q167" s="35"/>
      <c r="R167" s="36"/>
      <c r="S167" s="150"/>
      <c r="T167" s="35"/>
      <c r="U167" s="36"/>
      <c r="V167" s="23"/>
      <c r="W167" s="23"/>
    </row>
    <row r="168" hidden="1" outlineLevel="2">
      <c r="A168" s="22"/>
      <c r="B168" s="22"/>
      <c r="C168" s="22"/>
      <c r="D168" s="22"/>
      <c r="E168" s="182" t="s">
        <v>194</v>
      </c>
      <c r="F168" s="183"/>
      <c r="G168" s="183"/>
      <c r="H168" s="183"/>
      <c r="I168" s="183"/>
      <c r="J168" s="184"/>
      <c r="K168" s="185" t="str">
        <f>IF(OR(L167="Yes",L167="Often"),"0.43","") </f>
        <v/>
      </c>
      <c r="L168" s="186"/>
      <c r="M168" s="187" t="str">
        <f t="shared" ref="M168:M169" si="9">K168</f>
        <v/>
      </c>
      <c r="N168" s="22"/>
      <c r="O168" s="22"/>
      <c r="P168" s="161"/>
      <c r="Q168" s="35"/>
      <c r="R168" s="36"/>
      <c r="S168" s="150"/>
      <c r="T168" s="35"/>
      <c r="U168" s="36"/>
      <c r="V168" s="23"/>
      <c r="W168" s="23"/>
    </row>
    <row r="169" hidden="1" outlineLevel="2">
      <c r="A169" s="22"/>
      <c r="B169" s="22"/>
      <c r="C169" s="22"/>
      <c r="D169" s="22"/>
      <c r="E169" s="188" t="s">
        <v>195</v>
      </c>
      <c r="F169" s="189"/>
      <c r="G169" s="189"/>
      <c r="H169" s="189"/>
      <c r="I169" s="189"/>
      <c r="J169" s="190"/>
      <c r="K169" s="191" t="str">
        <f>IF(OR(L167="Yes",L167="Often"),"250","") </f>
        <v/>
      </c>
      <c r="L169" s="192"/>
      <c r="M169" s="187" t="str">
        <f t="shared" si="9"/>
        <v/>
      </c>
      <c r="N169" s="22"/>
      <c r="O169" s="22"/>
      <c r="P169" s="161"/>
      <c r="Q169" s="35"/>
      <c r="R169" s="36"/>
      <c r="S169" s="150"/>
      <c r="T169" s="35"/>
      <c r="U169" s="36"/>
      <c r="V169" s="23"/>
      <c r="W169" s="23"/>
    </row>
    <row r="170" hidden="1" outlineLevel="2">
      <c r="A170" s="22"/>
      <c r="B170" s="22"/>
      <c r="C170" s="22"/>
      <c r="D170" s="22"/>
      <c r="E170" s="188" t="s">
        <v>196</v>
      </c>
      <c r="F170" s="189"/>
      <c r="G170" s="189"/>
      <c r="H170" s="189"/>
      <c r="I170" s="189"/>
      <c r="J170" s="190"/>
      <c r="K170" s="191" t="str">
        <f>IF(OR(L167="Yes",L167="Often"),"No don't allow","") </f>
        <v/>
      </c>
      <c r="L170" s="192"/>
      <c r="M170" s="18"/>
      <c r="N170" s="22"/>
      <c r="O170" s="22"/>
      <c r="P170" s="161"/>
      <c r="Q170" s="35"/>
      <c r="R170" s="36"/>
      <c r="S170" s="150"/>
      <c r="T170" s="35"/>
      <c r="U170" s="36"/>
      <c r="V170" s="23"/>
      <c r="W170" s="23"/>
    </row>
    <row r="171" hidden="1" outlineLevel="2">
      <c r="A171" s="22"/>
      <c r="B171" s="22"/>
      <c r="C171" s="22"/>
      <c r="D171" s="22"/>
      <c r="E171" s="194" t="s">
        <v>197</v>
      </c>
      <c r="F171" s="195"/>
      <c r="G171" s="195"/>
      <c r="H171" s="195"/>
      <c r="I171" s="195"/>
      <c r="J171" s="196"/>
      <c r="K171" s="197" t="str">
        <f>IF(OR(L167="Yes",L167="Often"),"No auto-approved","") </f>
        <v/>
      </c>
      <c r="L171" s="198"/>
      <c r="M171" s="18"/>
      <c r="N171" s="22"/>
      <c r="O171" s="22"/>
      <c r="P171" s="161"/>
      <c r="Q171" s="35"/>
      <c r="R171" s="36"/>
      <c r="S171" s="150"/>
      <c r="T171" s="35"/>
      <c r="U171" s="36"/>
      <c r="V171" s="23"/>
      <c r="W171" s="23"/>
    </row>
    <row r="172" hidden="1" outlineLevel="1" collapsed="1">
      <c r="A172" s="22"/>
      <c r="B172" s="22"/>
      <c r="C172" s="22"/>
      <c r="D172" s="22"/>
      <c r="E172" s="162" t="s">
        <v>272</v>
      </c>
      <c r="F172" s="35"/>
      <c r="G172" s="35"/>
      <c r="H172" s="35"/>
      <c r="I172" s="35"/>
      <c r="J172" s="35"/>
      <c r="K172" s="199"/>
      <c r="L172" s="200" t="str">
        <f>IF(L133="Commute","Yes",IF(L133="Federal Mobility Budget","Often",IF(OR(L133="Professional Travel",L133="EV Charging &amp; Fuel"),"No",L133)))</f>
        <v/>
      </c>
      <c r="M172" s="165"/>
      <c r="N172" s="22"/>
      <c r="O172" s="22"/>
      <c r="P172" s="161"/>
      <c r="Q172" s="35"/>
      <c r="R172" s="36"/>
      <c r="S172" s="150"/>
      <c r="T172" s="35"/>
      <c r="U172" s="36"/>
      <c r="V172" s="23"/>
      <c r="W172" s="23"/>
    </row>
    <row r="173" hidden="1" outlineLevel="2">
      <c r="A173" s="22"/>
      <c r="B173" s="22"/>
      <c r="C173" s="22"/>
      <c r="D173" s="22"/>
      <c r="E173" s="173" t="s">
        <v>194</v>
      </c>
      <c r="F173" s="201"/>
      <c r="G173" s="201"/>
      <c r="H173" s="201"/>
      <c r="I173" s="201"/>
      <c r="J173" s="202"/>
      <c r="K173" s="203" t="str">
        <f>IF(OR(L172="Yes",L172="Often"),"0.36","") </f>
        <v/>
      </c>
      <c r="L173" s="204"/>
      <c r="M173" s="187" t="str">
        <f t="shared" ref="M173:M174" si="10">K173</f>
        <v/>
      </c>
      <c r="N173" s="22"/>
      <c r="O173" s="22"/>
      <c r="P173" s="150"/>
      <c r="Q173" s="35"/>
      <c r="R173" s="36"/>
      <c r="S173" s="150"/>
      <c r="T173" s="35"/>
      <c r="U173" s="36"/>
      <c r="V173" s="23"/>
      <c r="W173" s="23"/>
    </row>
    <row r="174" hidden="1" outlineLevel="2">
      <c r="A174" s="22"/>
      <c r="B174" s="22"/>
      <c r="C174" s="22"/>
      <c r="D174" s="22"/>
      <c r="E174" s="205" t="s">
        <v>195</v>
      </c>
      <c r="F174" s="206"/>
      <c r="G174" s="206"/>
      <c r="H174" s="206"/>
      <c r="I174" s="206"/>
      <c r="J174" s="207"/>
      <c r="K174" s="176" t="str">
        <f>IF(OR(L172="Yes",L172="Often"),"15","") </f>
        <v/>
      </c>
      <c r="L174" s="208"/>
      <c r="M174" s="187" t="str">
        <f t="shared" si="10"/>
        <v/>
      </c>
      <c r="N174" s="22"/>
      <c r="O174" s="22"/>
      <c r="P174" s="150"/>
      <c r="Q174" s="35"/>
      <c r="R174" s="36"/>
      <c r="S174" s="150"/>
      <c r="T174" s="35"/>
      <c r="U174" s="36"/>
      <c r="V174" s="23"/>
      <c r="W174" s="23"/>
    </row>
    <row r="175" hidden="1" outlineLevel="2">
      <c r="A175" s="22"/>
      <c r="B175" s="22"/>
      <c r="C175" s="22"/>
      <c r="D175" s="22"/>
      <c r="E175" s="205" t="s">
        <v>196</v>
      </c>
      <c r="F175" s="206"/>
      <c r="G175" s="206"/>
      <c r="H175" s="206"/>
      <c r="I175" s="206"/>
      <c r="J175" s="207"/>
      <c r="K175" s="176" t="str">
        <f>IF(OR(L172="Yes",L172="Often"),"No don't allow","") </f>
        <v/>
      </c>
      <c r="L175" s="208"/>
      <c r="M175" s="18"/>
      <c r="N175" s="22"/>
      <c r="O175" s="22"/>
      <c r="P175" s="150"/>
      <c r="Q175" s="35"/>
      <c r="R175" s="36"/>
      <c r="S175" s="150"/>
      <c r="T175" s="35"/>
      <c r="U175" s="36"/>
      <c r="V175" s="23"/>
      <c r="W175" s="23"/>
    </row>
    <row r="176" hidden="1" outlineLevel="2">
      <c r="A176" s="22"/>
      <c r="B176" s="22"/>
      <c r="C176" s="22"/>
      <c r="D176" s="22"/>
      <c r="E176" s="178" t="s">
        <v>197</v>
      </c>
      <c r="F176" s="209"/>
      <c r="G176" s="209"/>
      <c r="H176" s="209"/>
      <c r="I176" s="209"/>
      <c r="J176" s="210"/>
      <c r="K176" s="176" t="str">
        <f>IF(OR(L172="Yes",L172="Often"),"No auto-approved","") </f>
        <v/>
      </c>
      <c r="L176" s="208"/>
      <c r="M176" s="18"/>
      <c r="N176" s="22"/>
      <c r="O176" s="22"/>
      <c r="P176" s="150"/>
      <c r="Q176" s="35"/>
      <c r="R176" s="36"/>
      <c r="S176" s="150"/>
      <c r="T176" s="35"/>
      <c r="U176" s="36"/>
      <c r="V176" s="23"/>
      <c r="W176" s="23"/>
    </row>
    <row r="177" collapsed="1">
      <c r="A177" s="146" t="s">
        <v>273</v>
      </c>
      <c r="B177" s="146"/>
      <c r="C177" s="147"/>
      <c r="D177" s="278"/>
      <c r="E177" s="148" t="s">
        <v>202</v>
      </c>
      <c r="F177" s="35"/>
      <c r="G177" s="35"/>
      <c r="H177" s="35"/>
      <c r="I177" s="35"/>
      <c r="J177" s="35"/>
      <c r="K177" s="35"/>
      <c r="L177" s="35"/>
      <c r="M177" s="36"/>
      <c r="N177" s="22"/>
      <c r="O177" s="22"/>
      <c r="P177" s="150"/>
      <c r="Q177" s="35"/>
      <c r="R177" s="36"/>
      <c r="S177" s="150"/>
      <c r="T177" s="35"/>
      <c r="U177" s="36"/>
      <c r="V177" s="23"/>
      <c r="W177" s="23"/>
    </row>
    <row r="178" hidden="1" outlineLevel="1">
      <c r="A178" s="22"/>
      <c r="B178" s="22"/>
      <c r="C178" s="43"/>
      <c r="D178" s="22"/>
      <c r="E178" s="212" t="s">
        <v>274</v>
      </c>
      <c r="F178" s="10"/>
      <c r="G178" s="10"/>
      <c r="H178" s="10"/>
      <c r="I178" s="10"/>
      <c r="J178" s="10"/>
      <c r="K178" s="10"/>
      <c r="L178" s="213"/>
      <c r="M178" s="214"/>
      <c r="N178" s="22"/>
      <c r="O178" s="22"/>
      <c r="P178" s="150"/>
      <c r="Q178" s="35"/>
      <c r="R178" s="36"/>
      <c r="S178" s="150"/>
      <c r="T178" s="35"/>
      <c r="U178" s="36"/>
      <c r="V178" s="23"/>
      <c r="W178" s="23"/>
    </row>
    <row r="179" hidden="1" outlineLevel="1" collapsed="1">
      <c r="A179" s="22"/>
      <c r="B179" s="22"/>
      <c r="C179" s="43"/>
      <c r="D179" s="23"/>
      <c r="E179" s="215" t="s">
        <v>275</v>
      </c>
      <c r="F179" s="216"/>
      <c r="G179" s="216"/>
      <c r="H179" s="216"/>
      <c r="I179" s="216"/>
      <c r="J179" s="216"/>
      <c r="K179" s="216"/>
      <c r="L179" s="216"/>
      <c r="M179" s="217"/>
      <c r="N179" s="24"/>
      <c r="O179" s="22"/>
      <c r="P179" s="150"/>
      <c r="Q179" s="35"/>
      <c r="R179" s="36"/>
      <c r="S179" s="150"/>
      <c r="T179" s="35"/>
      <c r="U179" s="36"/>
      <c r="V179" s="23"/>
      <c r="W179" s="23"/>
    </row>
    <row r="180" hidden="1" outlineLevel="2">
      <c r="A180" s="218"/>
      <c r="B180" s="218"/>
      <c r="C180" s="219"/>
      <c r="D180" s="23"/>
      <c r="E180" s="220"/>
      <c r="F180" s="221" t="s">
        <v>206</v>
      </c>
      <c r="G180" s="222"/>
      <c r="H180" s="223"/>
      <c r="I180" s="223"/>
      <c r="J180" s="223"/>
      <c r="K180" s="223" t="s">
        <v>207</v>
      </c>
      <c r="L180" s="224" t="s">
        <v>208</v>
      </c>
      <c r="M180" s="225"/>
      <c r="N180" s="24"/>
      <c r="O180" s="22"/>
      <c r="P180" s="150"/>
      <c r="Q180" s="35"/>
      <c r="R180" s="36"/>
      <c r="S180" s="172"/>
      <c r="T180" s="172"/>
      <c r="U180" s="172"/>
      <c r="V180" s="23"/>
      <c r="W180" s="23"/>
    </row>
    <row r="181" hidden="1" outlineLevel="2">
      <c r="A181" s="218"/>
      <c r="B181" s="218"/>
      <c r="C181" s="219"/>
      <c r="D181" s="23"/>
      <c r="E181" s="220"/>
      <c r="F181" s="221" t="s">
        <v>209</v>
      </c>
      <c r="G181" s="222"/>
      <c r="H181" s="223"/>
      <c r="I181" s="223"/>
      <c r="J181" s="223"/>
      <c r="K181" s="223" t="s">
        <v>210</v>
      </c>
      <c r="L181" s="224" t="s">
        <v>211</v>
      </c>
      <c r="M181" s="225"/>
      <c r="N181" s="24"/>
      <c r="O181" s="22"/>
      <c r="P181" s="150"/>
      <c r="Q181" s="35"/>
      <c r="R181" s="36"/>
      <c r="S181" s="172"/>
      <c r="T181" s="172"/>
      <c r="U181" s="172"/>
      <c r="V181" s="23"/>
      <c r="W181" s="23"/>
    </row>
    <row r="182" hidden="1" outlineLevel="2">
      <c r="A182" s="218"/>
      <c r="B182" s="218"/>
      <c r="C182" s="219"/>
      <c r="D182" s="23"/>
      <c r="E182" s="220"/>
      <c r="F182" s="221" t="s">
        <v>212</v>
      </c>
      <c r="G182" s="222"/>
      <c r="H182" s="226" t="s">
        <v>213</v>
      </c>
      <c r="I182" s="189"/>
      <c r="J182" s="189"/>
      <c r="K182" s="190"/>
      <c r="L182" s="227"/>
      <c r="M182" s="225"/>
      <c r="N182" s="24"/>
      <c r="O182" s="22"/>
      <c r="P182" s="150"/>
      <c r="Q182" s="35"/>
      <c r="R182" s="36"/>
      <c r="S182" s="150"/>
      <c r="T182" s="35"/>
      <c r="U182" s="36"/>
      <c r="V182" s="23"/>
      <c r="W182" s="23"/>
    </row>
    <row r="183" hidden="1" outlineLevel="2">
      <c r="A183" s="218"/>
      <c r="B183" s="218"/>
      <c r="C183" s="219"/>
      <c r="D183" s="23"/>
      <c r="E183" s="220"/>
      <c r="F183" s="221" t="s">
        <v>214</v>
      </c>
      <c r="G183" s="222"/>
      <c r="H183" s="222"/>
      <c r="I183" s="226" t="s">
        <v>215</v>
      </c>
      <c r="J183" s="189"/>
      <c r="K183" s="190"/>
      <c r="L183" s="227"/>
      <c r="M183" s="225"/>
      <c r="N183" s="24"/>
      <c r="O183" s="22"/>
      <c r="P183" s="150"/>
      <c r="Q183" s="35"/>
      <c r="R183" s="36"/>
      <c r="S183" s="150"/>
      <c r="T183" s="35"/>
      <c r="U183" s="36"/>
      <c r="V183" s="23"/>
      <c r="W183" s="23"/>
    </row>
    <row r="184" hidden="1" outlineLevel="2">
      <c r="A184" s="218"/>
      <c r="B184" s="218"/>
      <c r="C184" s="219"/>
      <c r="D184" s="23"/>
      <c r="E184" s="220"/>
      <c r="F184" s="228" t="s">
        <v>216</v>
      </c>
      <c r="G184" s="222"/>
      <c r="H184" s="222"/>
      <c r="I184" s="223"/>
      <c r="J184" s="223"/>
      <c r="K184" s="223" t="s">
        <v>217</v>
      </c>
      <c r="L184" s="227"/>
      <c r="M184" s="225"/>
      <c r="N184" s="24"/>
      <c r="O184" s="22"/>
      <c r="P184" s="150"/>
      <c r="Q184" s="35"/>
      <c r="R184" s="36"/>
      <c r="S184" s="172"/>
      <c r="T184" s="172"/>
      <c r="U184" s="172"/>
      <c r="V184" s="23"/>
      <c r="W184" s="23"/>
    </row>
    <row r="185" hidden="1" outlineLevel="2">
      <c r="A185" s="218"/>
      <c r="B185" s="218"/>
      <c r="C185" s="219"/>
      <c r="D185" s="229"/>
      <c r="E185" s="230"/>
      <c r="F185" s="228" t="s">
        <v>218</v>
      </c>
      <c r="G185" s="231" t="s">
        <v>219</v>
      </c>
      <c r="H185" s="189"/>
      <c r="I185" s="189"/>
      <c r="J185" s="189"/>
      <c r="K185" s="190"/>
      <c r="L185" s="227"/>
      <c r="M185" s="225"/>
      <c r="N185" s="232"/>
      <c r="O185" s="22"/>
      <c r="P185" s="150"/>
      <c r="Q185" s="35"/>
      <c r="R185" s="36"/>
      <c r="S185" s="150"/>
      <c r="T185" s="35"/>
      <c r="U185" s="36"/>
      <c r="V185" s="229"/>
      <c r="W185" s="229"/>
    </row>
    <row r="186" hidden="1" outlineLevel="2">
      <c r="A186" s="218"/>
      <c r="B186" s="233"/>
      <c r="C186" s="234"/>
      <c r="D186" s="229"/>
      <c r="E186" s="230"/>
      <c r="F186" s="228" t="s">
        <v>220</v>
      </c>
      <c r="G186" s="235"/>
      <c r="H186" s="231" t="s">
        <v>221</v>
      </c>
      <c r="I186" s="189"/>
      <c r="J186" s="189"/>
      <c r="K186" s="190"/>
      <c r="L186" s="236"/>
      <c r="M186" s="237"/>
      <c r="N186" s="232"/>
      <c r="O186" s="22"/>
      <c r="P186" s="150"/>
      <c r="Q186" s="35"/>
      <c r="R186" s="36"/>
      <c r="S186" s="172"/>
      <c r="T186" s="172"/>
      <c r="U186" s="172"/>
      <c r="V186" s="229"/>
      <c r="W186" s="229"/>
    </row>
    <row r="187" hidden="1" outlineLevel="2">
      <c r="A187" s="238"/>
      <c r="B187" s="239"/>
      <c r="C187" s="240"/>
      <c r="D187" s="241"/>
      <c r="E187" s="242"/>
      <c r="F187" s="243" t="s">
        <v>222</v>
      </c>
      <c r="G187" s="244"/>
      <c r="H187" s="245"/>
      <c r="I187" s="245"/>
      <c r="J187" s="245"/>
      <c r="K187" s="246" t="s">
        <v>223</v>
      </c>
      <c r="L187" s="247"/>
      <c r="M187" s="248"/>
      <c r="N187" s="232"/>
      <c r="O187" s="22"/>
      <c r="P187" s="150"/>
      <c r="Q187" s="35"/>
      <c r="R187" s="36"/>
      <c r="S187" s="172"/>
      <c r="T187" s="172"/>
      <c r="U187" s="172"/>
      <c r="V187" s="229"/>
      <c r="W187" s="229"/>
    </row>
    <row r="188" hidden="1" outlineLevel="1" collapsed="1">
      <c r="A188" s="249"/>
      <c r="B188" s="250"/>
      <c r="C188" s="251"/>
      <c r="D188" s="252"/>
      <c r="E188" s="215" t="s">
        <v>276</v>
      </c>
      <c r="F188" s="216"/>
      <c r="G188" s="216"/>
      <c r="H188" s="216"/>
      <c r="I188" s="216"/>
      <c r="J188" s="216"/>
      <c r="K188" s="216"/>
      <c r="L188" s="216"/>
      <c r="M188" s="217"/>
      <c r="N188" s="253"/>
      <c r="O188" s="22"/>
      <c r="P188" s="150"/>
      <c r="Q188" s="35"/>
      <c r="R188" s="36"/>
      <c r="S188" s="150"/>
      <c r="T188" s="35"/>
      <c r="U188" s="36"/>
      <c r="V188" s="23"/>
      <c r="W188" s="23"/>
    </row>
    <row r="189" hidden="1" outlineLevel="2">
      <c r="A189" s="254"/>
      <c r="B189" s="250"/>
      <c r="C189" s="255"/>
      <c r="D189" s="256"/>
      <c r="E189" s="257" t="s">
        <v>225</v>
      </c>
      <c r="F189" s="190"/>
      <c r="G189" s="258" t="s">
        <v>226</v>
      </c>
      <c r="H189" s="258" t="s">
        <v>226</v>
      </c>
      <c r="I189" s="258" t="s">
        <v>227</v>
      </c>
      <c r="J189" s="258" t="s">
        <v>228</v>
      </c>
      <c r="K189" s="258" t="s">
        <v>229</v>
      </c>
      <c r="L189" s="258" t="s">
        <v>230</v>
      </c>
      <c r="M189" s="259" t="s">
        <v>231</v>
      </c>
      <c r="N189" s="260"/>
      <c r="O189" s="22"/>
      <c r="P189" s="150"/>
      <c r="Q189" s="35"/>
      <c r="R189" s="36"/>
      <c r="S189" s="172"/>
      <c r="T189" s="172"/>
      <c r="U189" s="172"/>
      <c r="V189" s="23"/>
      <c r="W189" s="23"/>
    </row>
    <row r="190" hidden="1" outlineLevel="2">
      <c r="A190" s="261"/>
      <c r="B190" s="255"/>
      <c r="C190" s="219"/>
      <c r="D190" s="12"/>
      <c r="E190" s="262" t="s">
        <v>207</v>
      </c>
      <c r="F190" s="196"/>
      <c r="G190" s="263" t="s">
        <v>232</v>
      </c>
      <c r="H190" s="263" t="s">
        <v>233</v>
      </c>
      <c r="I190" s="263" t="s">
        <v>234</v>
      </c>
      <c r="J190" s="263" t="s">
        <v>235</v>
      </c>
      <c r="K190" s="263" t="s">
        <v>236</v>
      </c>
      <c r="L190" s="263" t="s">
        <v>237</v>
      </c>
      <c r="M190" s="264" t="s">
        <v>237</v>
      </c>
      <c r="N190" s="260"/>
      <c r="O190" s="22"/>
      <c r="P190" s="150"/>
      <c r="Q190" s="35"/>
      <c r="R190" s="36"/>
      <c r="S190" s="172"/>
      <c r="T190" s="172"/>
      <c r="U190" s="172"/>
      <c r="V190" s="23"/>
      <c r="W190" s="23"/>
    </row>
    <row r="191" hidden="1" outlineLevel="2">
      <c r="A191" s="218"/>
      <c r="B191" s="218"/>
      <c r="C191" s="219"/>
      <c r="D191" s="12"/>
      <c r="E191" s="265"/>
      <c r="F191" s="36"/>
      <c r="G191" s="106"/>
      <c r="H191" s="266"/>
      <c r="I191" s="106"/>
      <c r="J191" s="106"/>
      <c r="K191" s="168"/>
      <c r="L191" s="106"/>
      <c r="M191" s="267"/>
      <c r="N191" s="260"/>
      <c r="O191" s="22"/>
      <c r="P191" s="268"/>
      <c r="Q191" s="35"/>
      <c r="R191" s="36"/>
      <c r="S191" s="150"/>
      <c r="T191" s="35"/>
      <c r="U191" s="36"/>
      <c r="V191" s="23"/>
      <c r="W191" s="23"/>
    </row>
    <row r="192" hidden="1" outlineLevel="2">
      <c r="A192" s="218"/>
      <c r="B192" s="218"/>
      <c r="C192" s="43"/>
      <c r="D192" s="12"/>
      <c r="E192" s="265"/>
      <c r="F192" s="36"/>
      <c r="G192" s="106"/>
      <c r="H192" s="266"/>
      <c r="I192" s="18"/>
      <c r="J192" s="18"/>
      <c r="K192" s="165"/>
      <c r="L192" s="18"/>
      <c r="M192" s="269"/>
      <c r="N192" s="260"/>
      <c r="O192" s="22"/>
      <c r="P192" s="268"/>
      <c r="Q192" s="35"/>
      <c r="R192" s="36"/>
      <c r="S192" s="150"/>
      <c r="T192" s="35"/>
      <c r="U192" s="36"/>
      <c r="V192" s="23"/>
      <c r="W192" s="23"/>
    </row>
    <row r="193" hidden="1" outlineLevel="2">
      <c r="A193" s="22"/>
      <c r="B193" s="22"/>
      <c r="C193" s="43"/>
      <c r="D193" s="12"/>
      <c r="E193" s="265"/>
      <c r="F193" s="36"/>
      <c r="G193" s="106"/>
      <c r="H193" s="266"/>
      <c r="I193" s="18"/>
      <c r="J193" s="18"/>
      <c r="K193" s="165"/>
      <c r="L193" s="18"/>
      <c r="M193" s="269"/>
      <c r="N193" s="260"/>
      <c r="O193" s="22"/>
      <c r="P193" s="150"/>
      <c r="Q193" s="35"/>
      <c r="R193" s="36"/>
      <c r="S193" s="150"/>
      <c r="T193" s="35"/>
      <c r="U193" s="36"/>
      <c r="V193" s="23"/>
      <c r="W193" s="23"/>
    </row>
    <row r="194" hidden="1" outlineLevel="2">
      <c r="A194" s="22"/>
      <c r="B194" s="22"/>
      <c r="C194" s="219"/>
      <c r="D194" s="12"/>
      <c r="E194" s="265"/>
      <c r="F194" s="36"/>
      <c r="G194" s="106"/>
      <c r="H194" s="270"/>
      <c r="I194" s="18"/>
      <c r="J194" s="18"/>
      <c r="K194" s="165"/>
      <c r="L194" s="18"/>
      <c r="M194" s="269"/>
      <c r="N194" s="260"/>
      <c r="O194" s="22"/>
      <c r="P194" s="150"/>
      <c r="Q194" s="35"/>
      <c r="R194" s="36"/>
      <c r="S194" s="150"/>
      <c r="T194" s="35"/>
      <c r="U194" s="36"/>
      <c r="V194" s="23"/>
      <c r="W194" s="23"/>
    </row>
    <row r="195" hidden="1" outlineLevel="2">
      <c r="A195" s="218"/>
      <c r="B195" s="218"/>
      <c r="C195" s="219"/>
      <c r="D195" s="12"/>
      <c r="E195" s="265"/>
      <c r="F195" s="36"/>
      <c r="G195" s="18"/>
      <c r="H195" s="270"/>
      <c r="I195" s="18"/>
      <c r="J195" s="18"/>
      <c r="K195" s="165"/>
      <c r="L195" s="18"/>
      <c r="M195" s="269"/>
      <c r="N195" s="260"/>
      <c r="O195" s="22"/>
      <c r="P195" s="150"/>
      <c r="Q195" s="35"/>
      <c r="R195" s="36"/>
      <c r="S195" s="150"/>
      <c r="T195" s="35"/>
      <c r="U195" s="36"/>
      <c r="V195" s="23"/>
      <c r="W195" s="23"/>
    </row>
    <row r="196" hidden="1" outlineLevel="2">
      <c r="A196" s="218"/>
      <c r="B196" s="218"/>
      <c r="C196" s="219"/>
      <c r="D196" s="12"/>
      <c r="E196" s="265"/>
      <c r="F196" s="36"/>
      <c r="G196" s="18"/>
      <c r="H196" s="270"/>
      <c r="I196" s="18"/>
      <c r="J196" s="18"/>
      <c r="K196" s="165"/>
      <c r="L196" s="18"/>
      <c r="M196" s="269"/>
      <c r="N196" s="260"/>
      <c r="O196" s="22"/>
      <c r="P196" s="150"/>
      <c r="Q196" s="35"/>
      <c r="R196" s="36"/>
      <c r="S196" s="150"/>
      <c r="T196" s="35"/>
      <c r="U196" s="36"/>
      <c r="V196" s="23"/>
      <c r="W196" s="23"/>
    </row>
    <row r="197" hidden="1" outlineLevel="2">
      <c r="A197" s="218"/>
      <c r="B197" s="218"/>
      <c r="C197" s="219"/>
      <c r="D197" s="12"/>
      <c r="E197" s="265"/>
      <c r="F197" s="36"/>
      <c r="G197" s="18"/>
      <c r="H197" s="270"/>
      <c r="I197" s="18"/>
      <c r="J197" s="18"/>
      <c r="K197" s="165"/>
      <c r="L197" s="18"/>
      <c r="M197" s="269"/>
      <c r="N197" s="260"/>
      <c r="O197" s="22"/>
      <c r="P197" s="150"/>
      <c r="Q197" s="35"/>
      <c r="R197" s="36"/>
      <c r="S197" s="150"/>
      <c r="T197" s="35"/>
      <c r="U197" s="36"/>
      <c r="V197" s="23"/>
      <c r="W197" s="23"/>
    </row>
    <row r="198" hidden="1" outlineLevel="2">
      <c r="A198" s="218"/>
      <c r="B198" s="218"/>
      <c r="C198" s="219"/>
      <c r="D198" s="271"/>
      <c r="E198" s="272"/>
      <c r="F198" s="273"/>
      <c r="G198" s="274"/>
      <c r="H198" s="275"/>
      <c r="I198" s="274"/>
      <c r="J198" s="274"/>
      <c r="K198" s="276"/>
      <c r="L198" s="274"/>
      <c r="M198" s="277"/>
      <c r="N198" s="260"/>
      <c r="O198" s="22"/>
      <c r="P198" s="150"/>
      <c r="Q198" s="35"/>
      <c r="R198" s="36"/>
      <c r="S198" s="150"/>
      <c r="T198" s="35"/>
      <c r="U198" s="36"/>
      <c r="V198" s="23"/>
      <c r="W198" s="23"/>
    </row>
    <row r="199" collapsed="1">
      <c r="A199" s="146" t="s">
        <v>277</v>
      </c>
      <c r="B199" s="146"/>
      <c r="C199" s="147"/>
      <c r="D199" s="278"/>
      <c r="E199" s="148" t="s">
        <v>239</v>
      </c>
      <c r="F199" s="35"/>
      <c r="G199" s="35"/>
      <c r="H199" s="35"/>
      <c r="I199" s="35"/>
      <c r="J199" s="35"/>
      <c r="K199" s="35"/>
      <c r="L199" s="35"/>
      <c r="M199" s="36"/>
      <c r="N199" s="278"/>
      <c r="O199" s="22"/>
      <c r="P199" s="150"/>
      <c r="Q199" s="35"/>
      <c r="R199" s="36"/>
      <c r="S199" s="150"/>
      <c r="T199" s="35"/>
      <c r="U199" s="36"/>
      <c r="V199" s="23"/>
      <c r="W199" s="23"/>
    </row>
    <row r="200" hidden="1" outlineLevel="1">
      <c r="A200" s="22"/>
      <c r="B200" s="22"/>
      <c r="C200" s="43"/>
      <c r="D200" s="278"/>
      <c r="E200" s="279" t="s">
        <v>278</v>
      </c>
      <c r="F200" s="35"/>
      <c r="G200" s="35"/>
      <c r="H200" s="35"/>
      <c r="I200" s="153"/>
      <c r="J200" s="280" t="s">
        <v>241</v>
      </c>
      <c r="K200" s="35"/>
      <c r="L200" s="36"/>
      <c r="M200" s="266"/>
      <c r="N200" s="281"/>
      <c r="O200" s="22"/>
      <c r="P200" s="150"/>
      <c r="Q200" s="35"/>
      <c r="R200" s="36"/>
      <c r="S200" s="150"/>
      <c r="T200" s="35"/>
      <c r="U200" s="36"/>
      <c r="V200" s="23"/>
      <c r="W200" s="23"/>
    </row>
    <row r="201" hidden="1" outlineLevel="1">
      <c r="A201" s="22"/>
      <c r="B201" s="22"/>
      <c r="C201" s="22"/>
      <c r="D201" s="281"/>
      <c r="E201" s="279" t="s">
        <v>279</v>
      </c>
      <c r="F201" s="35"/>
      <c r="G201" s="35"/>
      <c r="H201" s="35"/>
      <c r="I201" s="35"/>
      <c r="J201" s="282"/>
      <c r="K201" s="283" t="s">
        <v>243</v>
      </c>
      <c r="L201" s="36"/>
      <c r="M201" s="266"/>
      <c r="N201" s="22"/>
      <c r="O201" s="22"/>
      <c r="P201" s="150"/>
      <c r="Q201" s="35"/>
      <c r="R201" s="36"/>
      <c r="S201" s="150"/>
      <c r="T201" s="35"/>
      <c r="U201" s="36"/>
      <c r="V201" s="23"/>
      <c r="W201" s="23"/>
    </row>
    <row r="202" hidden="1" outlineLevel="1">
      <c r="A202" s="22"/>
      <c r="B202" s="22"/>
      <c r="C202" s="22"/>
      <c r="D202" s="22"/>
      <c r="E202" s="279" t="s">
        <v>280</v>
      </c>
      <c r="F202" s="35"/>
      <c r="G202" s="35"/>
      <c r="H202" s="35"/>
      <c r="I202" s="282"/>
      <c r="J202" s="283" t="s">
        <v>245</v>
      </c>
      <c r="K202" s="35"/>
      <c r="L202" s="36"/>
      <c r="M202" s="266"/>
      <c r="N202" s="22"/>
      <c r="O202" s="22"/>
      <c r="P202" s="150"/>
      <c r="Q202" s="35"/>
      <c r="R202" s="36"/>
      <c r="S202" s="150"/>
      <c r="T202" s="35"/>
      <c r="U202" s="36"/>
      <c r="V202" s="23"/>
      <c r="W202" s="23"/>
    </row>
    <row r="203" hidden="1" outlineLevel="1">
      <c r="A203" s="22"/>
      <c r="B203" s="22"/>
      <c r="C203" s="22"/>
      <c r="D203" s="22"/>
      <c r="E203" s="279" t="s">
        <v>281</v>
      </c>
      <c r="F203" s="284"/>
      <c r="G203" s="285"/>
      <c r="H203" s="286" t="s">
        <v>247</v>
      </c>
      <c r="I203" s="35"/>
      <c r="J203" s="153"/>
      <c r="K203" s="287" t="s">
        <v>282</v>
      </c>
      <c r="L203" s="36"/>
      <c r="M203" s="289"/>
      <c r="N203" s="22"/>
      <c r="O203" s="22"/>
      <c r="P203" s="268"/>
      <c r="Q203" s="35"/>
      <c r="R203" s="36"/>
      <c r="S203" s="150"/>
      <c r="T203" s="35"/>
      <c r="U203" s="36"/>
      <c r="V203" s="23"/>
      <c r="W203" s="23"/>
    </row>
    <row r="204" hidden="1" outlineLevel="1">
      <c r="A204" s="22"/>
      <c r="B204" s="22"/>
      <c r="C204" s="22"/>
      <c r="D204" s="22"/>
      <c r="E204" s="279" t="s">
        <v>283</v>
      </c>
      <c r="F204" s="35"/>
      <c r="G204" s="153"/>
      <c r="H204" s="286" t="s">
        <v>250</v>
      </c>
      <c r="I204" s="35"/>
      <c r="J204" s="153"/>
      <c r="K204" s="287" t="s">
        <v>284</v>
      </c>
      <c r="L204" s="36"/>
      <c r="M204" s="289"/>
      <c r="N204" s="22"/>
      <c r="O204" s="22"/>
      <c r="P204" s="268"/>
      <c r="Q204" s="35"/>
      <c r="R204" s="36"/>
      <c r="S204" s="150"/>
      <c r="T204" s="35"/>
      <c r="U204" s="36"/>
      <c r="V204" s="23"/>
      <c r="W204" s="23"/>
    </row>
    <row r="205" hidden="1" outlineLevel="1">
      <c r="A205" s="22"/>
      <c r="B205" s="22"/>
      <c r="C205" s="22"/>
      <c r="D205" s="22"/>
      <c r="E205" s="290" t="s">
        <v>252</v>
      </c>
      <c r="F205" s="10"/>
      <c r="G205" s="10"/>
      <c r="H205" s="10"/>
      <c r="I205" s="10"/>
      <c r="J205" s="10"/>
      <c r="K205" s="10"/>
      <c r="L205" s="10"/>
      <c r="M205" s="11"/>
      <c r="N205" s="22"/>
      <c r="O205" s="22"/>
      <c r="P205" s="150"/>
      <c r="Q205" s="35"/>
      <c r="R205" s="36"/>
      <c r="S205" s="150"/>
      <c r="T205" s="35"/>
      <c r="U205" s="36"/>
      <c r="V205" s="23"/>
      <c r="W205" s="23"/>
    </row>
    <row r="206" hidden="1" outlineLevel="1">
      <c r="A206" s="22"/>
      <c r="B206" s="22"/>
      <c r="C206" s="22"/>
      <c r="D206" s="22"/>
      <c r="E206" s="291" t="s">
        <v>285</v>
      </c>
      <c r="F206" s="292"/>
      <c r="G206" s="292"/>
      <c r="H206" s="292"/>
      <c r="I206" s="286" t="s">
        <v>254</v>
      </c>
      <c r="J206" s="35"/>
      <c r="K206" s="35"/>
      <c r="L206" s="36"/>
      <c r="M206" s="106"/>
      <c r="N206" s="22"/>
      <c r="O206" s="22"/>
      <c r="P206" s="268"/>
      <c r="Q206" s="35"/>
      <c r="R206" s="36"/>
      <c r="S206" s="150"/>
      <c r="T206" s="35"/>
      <c r="U206" s="36"/>
      <c r="V206" s="23"/>
      <c r="W206" s="23"/>
    </row>
    <row r="207" hidden="1" outlineLevel="1">
      <c r="A207" s="22"/>
      <c r="B207" s="22"/>
      <c r="C207" s="22"/>
      <c r="D207" s="22"/>
      <c r="E207" s="293" t="s">
        <v>255</v>
      </c>
      <c r="F207" s="35"/>
      <c r="G207" s="35"/>
      <c r="H207" s="35"/>
      <c r="I207" s="35"/>
      <c r="J207" s="35"/>
      <c r="K207" s="35"/>
      <c r="L207" s="36"/>
      <c r="M207" s="266"/>
      <c r="N207" s="22"/>
      <c r="O207" s="22"/>
      <c r="P207" s="150"/>
      <c r="Q207" s="35"/>
      <c r="R207" s="36"/>
      <c r="S207" s="150"/>
      <c r="T207" s="35"/>
      <c r="U207" s="36"/>
      <c r="V207" s="23"/>
      <c r="W207" s="23"/>
    </row>
    <row r="208" hidden="1" outlineLevel="1">
      <c r="A208" s="22"/>
      <c r="B208" s="22"/>
      <c r="C208" s="22"/>
      <c r="D208" s="22"/>
      <c r="E208" s="294" t="s">
        <v>256</v>
      </c>
      <c r="F208" s="35"/>
      <c r="G208" s="35"/>
      <c r="H208" s="35"/>
      <c r="I208" s="35"/>
      <c r="J208" s="35"/>
      <c r="K208" s="35"/>
      <c r="L208" s="35"/>
      <c r="M208" s="36"/>
      <c r="N208" s="22"/>
      <c r="O208" s="22"/>
      <c r="P208" s="150"/>
      <c r="Q208" s="35"/>
      <c r="R208" s="36"/>
      <c r="S208" s="150"/>
      <c r="T208" s="35"/>
      <c r="U208" s="36"/>
      <c r="V208" s="23"/>
      <c r="W208" s="23"/>
    </row>
    <row r="209" hidden="1" outlineLevel="1">
      <c r="A209" s="22"/>
      <c r="B209" s="22"/>
      <c r="C209" s="22"/>
      <c r="D209" s="22"/>
      <c r="E209" s="295"/>
      <c r="F209" s="10"/>
      <c r="G209" s="10"/>
      <c r="H209" s="10"/>
      <c r="I209" s="10"/>
      <c r="J209" s="10"/>
      <c r="K209" s="10"/>
      <c r="L209" s="10"/>
      <c r="M209" s="11"/>
      <c r="N209" s="22"/>
      <c r="O209" s="22"/>
      <c r="P209" s="150"/>
      <c r="Q209" s="35"/>
      <c r="R209" s="36"/>
      <c r="S209" s="150"/>
      <c r="T209" s="35"/>
      <c r="U209" s="36"/>
      <c r="V209" s="23"/>
      <c r="W209" s="23"/>
    </row>
    <row r="210" hidden="1" outlineLevel="1">
      <c r="A210" s="22"/>
      <c r="B210" s="22"/>
      <c r="C210" s="22"/>
      <c r="D210" s="22"/>
      <c r="E210" s="14"/>
      <c r="F210" s="15"/>
      <c r="G210" s="15"/>
      <c r="H210" s="15"/>
      <c r="I210" s="15"/>
      <c r="J210" s="15"/>
      <c r="K210" s="15"/>
      <c r="L210" s="15"/>
      <c r="M210" s="16"/>
      <c r="N210" s="22"/>
      <c r="O210" s="22"/>
      <c r="P210" s="150"/>
      <c r="Q210" s="35"/>
      <c r="R210" s="36"/>
      <c r="S210" s="150"/>
      <c r="T210" s="35"/>
      <c r="U210" s="36"/>
      <c r="V210" s="23"/>
      <c r="W210" s="23"/>
    </row>
    <row r="211" hidden="1" outlineLevel="1">
      <c r="A211" s="22"/>
      <c r="B211" s="22"/>
      <c r="C211" s="22"/>
      <c r="D211" s="22"/>
      <c r="E211" s="291" t="s">
        <v>286</v>
      </c>
      <c r="F211" s="292"/>
      <c r="G211" s="296"/>
      <c r="H211" s="280" t="s">
        <v>258</v>
      </c>
      <c r="I211" s="35"/>
      <c r="J211" s="35"/>
      <c r="K211" s="35"/>
      <c r="L211" s="35"/>
      <c r="M211" s="106"/>
      <c r="N211" s="22"/>
      <c r="O211" s="22"/>
      <c r="P211" s="150"/>
      <c r="Q211" s="35"/>
      <c r="R211" s="36"/>
      <c r="S211" s="150"/>
      <c r="T211" s="35"/>
      <c r="U211" s="36"/>
      <c r="V211" s="23"/>
      <c r="W211" s="23"/>
    </row>
    <row r="212" hidden="1" outlineLevel="1">
      <c r="A212" s="22"/>
      <c r="B212" s="22"/>
      <c r="C212" s="22"/>
      <c r="D212" s="22"/>
      <c r="E212" s="291" t="s">
        <v>287</v>
      </c>
      <c r="F212" s="296"/>
      <c r="G212" s="280" t="s">
        <v>260</v>
      </c>
      <c r="H212" s="35"/>
      <c r="I212" s="35"/>
      <c r="J212" s="35"/>
      <c r="K212" s="35"/>
      <c r="L212" s="35"/>
      <c r="M212" s="106"/>
      <c r="N212" s="22"/>
      <c r="O212" s="22"/>
      <c r="P212" s="150"/>
      <c r="Q212" s="35"/>
      <c r="R212" s="36"/>
      <c r="S212" s="150"/>
      <c r="T212" s="35"/>
      <c r="U212" s="36"/>
      <c r="V212" s="23"/>
      <c r="W212" s="23"/>
    </row>
    <row r="213" hidden="1" outlineLevel="1">
      <c r="A213" s="297"/>
      <c r="B213" s="297"/>
      <c r="C213" s="43"/>
      <c r="D213" s="43"/>
      <c r="E213" s="298" t="s">
        <v>261</v>
      </c>
      <c r="F213" s="35"/>
      <c r="G213" s="35"/>
      <c r="H213" s="35"/>
      <c r="I213" s="35"/>
      <c r="J213" s="35"/>
      <c r="K213" s="35"/>
      <c r="L213" s="35"/>
      <c r="M213" s="36"/>
      <c r="N213" s="297"/>
      <c r="O213" s="297"/>
      <c r="P213" s="46"/>
      <c r="Q213" s="35"/>
      <c r="R213" s="36"/>
      <c r="S213" s="46"/>
      <c r="T213" s="35"/>
      <c r="U213" s="36"/>
      <c r="V213" s="299"/>
      <c r="W213" s="299"/>
    </row>
    <row r="214" hidden="1" outlineLevel="1">
      <c r="A214" s="297"/>
      <c r="B214" s="297"/>
      <c r="C214" s="43"/>
      <c r="D214" s="43"/>
      <c r="E214" s="298" t="s">
        <v>262</v>
      </c>
      <c r="F214" s="35"/>
      <c r="G214" s="35"/>
      <c r="H214" s="35"/>
      <c r="I214" s="35"/>
      <c r="J214" s="35"/>
      <c r="K214" s="35"/>
      <c r="L214" s="35"/>
      <c r="M214" s="36"/>
      <c r="N214" s="297"/>
      <c r="O214" s="297"/>
      <c r="P214" s="46"/>
      <c r="Q214" s="35"/>
      <c r="R214" s="36"/>
      <c r="S214" s="46"/>
      <c r="T214" s="35"/>
      <c r="U214" s="36"/>
      <c r="V214" s="299"/>
      <c r="W214" s="299"/>
    </row>
    <row r="215">
      <c r="A215" s="306"/>
      <c r="B215" s="297"/>
      <c r="C215" s="297"/>
      <c r="D215" s="297"/>
      <c r="E215" s="297"/>
      <c r="F215" s="297"/>
      <c r="G215" s="297"/>
      <c r="H215" s="297"/>
      <c r="I215" s="297"/>
      <c r="J215" s="297"/>
      <c r="K215" s="297"/>
      <c r="L215" s="297"/>
      <c r="M215" s="297"/>
      <c r="N215" s="297"/>
      <c r="O215" s="297"/>
      <c r="P215" s="297"/>
      <c r="Q215" s="297"/>
      <c r="R215" s="297"/>
      <c r="S215" s="297"/>
      <c r="T215" s="297"/>
      <c r="U215" s="297"/>
      <c r="V215" s="297"/>
      <c r="W215" s="299"/>
    </row>
    <row r="216">
      <c r="A216" s="301"/>
      <c r="B216" s="301"/>
      <c r="C216" s="301"/>
      <c r="D216" s="301"/>
      <c r="E216" s="301"/>
      <c r="F216" s="301"/>
      <c r="G216" s="301"/>
      <c r="H216" s="301"/>
      <c r="I216" s="301"/>
      <c r="J216" s="301"/>
      <c r="K216" s="301"/>
      <c r="L216" s="301"/>
      <c r="M216" s="301"/>
      <c r="N216" s="301"/>
      <c r="O216" s="301"/>
      <c r="P216" s="301"/>
      <c r="Q216" s="301"/>
      <c r="R216" s="301"/>
      <c r="S216" s="301"/>
      <c r="T216" s="301"/>
      <c r="U216" s="301"/>
      <c r="V216" s="301"/>
      <c r="W216" s="301"/>
    </row>
    <row r="217">
      <c r="A217" s="307"/>
      <c r="B217" s="307"/>
      <c r="C217" s="307"/>
      <c r="D217" s="307"/>
      <c r="E217" s="307"/>
      <c r="F217" s="307"/>
      <c r="G217" s="307"/>
      <c r="H217" s="307"/>
      <c r="I217" s="307"/>
      <c r="J217" s="307"/>
      <c r="K217" s="307"/>
      <c r="L217" s="307"/>
      <c r="M217" s="307"/>
      <c r="N217" s="307"/>
      <c r="O217" s="307"/>
      <c r="P217" s="307"/>
      <c r="Q217" s="307"/>
      <c r="R217" s="307"/>
      <c r="S217" s="307"/>
      <c r="T217" s="307"/>
      <c r="U217" s="308"/>
      <c r="V217" s="308"/>
      <c r="W217" s="308"/>
    </row>
    <row r="218">
      <c r="A218" s="307"/>
      <c r="B218" s="307"/>
      <c r="C218" s="307"/>
      <c r="D218" s="307"/>
      <c r="E218" s="307"/>
      <c r="F218" s="307"/>
      <c r="G218" s="307"/>
      <c r="H218" s="307"/>
      <c r="I218" s="307"/>
      <c r="J218" s="307"/>
      <c r="K218" s="307"/>
      <c r="L218" s="307"/>
      <c r="M218" s="307"/>
      <c r="N218" s="307"/>
      <c r="O218" s="307"/>
      <c r="P218" s="307"/>
      <c r="Q218" s="307"/>
      <c r="R218" s="307"/>
      <c r="S218" s="307"/>
      <c r="T218" s="307"/>
      <c r="U218" s="308"/>
      <c r="V218" s="308"/>
      <c r="W218" s="308"/>
    </row>
    <row r="219">
      <c r="A219" s="307"/>
      <c r="B219" s="307"/>
      <c r="C219" s="307"/>
      <c r="D219" s="307"/>
      <c r="E219" s="26" t="s">
        <v>288</v>
      </c>
      <c r="F219" s="307"/>
      <c r="G219" s="307"/>
      <c r="H219" s="307"/>
      <c r="I219" s="307"/>
      <c r="J219" s="307"/>
      <c r="K219" s="307"/>
      <c r="L219" s="307"/>
      <c r="M219" s="307"/>
      <c r="N219" s="307"/>
      <c r="O219" s="307"/>
      <c r="P219" s="307"/>
      <c r="Q219" s="307"/>
      <c r="R219" s="307"/>
      <c r="S219" s="307"/>
      <c r="T219" s="307"/>
      <c r="U219" s="308"/>
      <c r="V219" s="308"/>
      <c r="W219" s="308"/>
    </row>
    <row r="220">
      <c r="A220" s="307"/>
      <c r="B220" s="307"/>
      <c r="C220" s="307"/>
      <c r="D220" s="307"/>
      <c r="E220" s="26" t="s">
        <v>264</v>
      </c>
      <c r="F220" s="307"/>
      <c r="G220" s="307"/>
      <c r="H220" s="307"/>
      <c r="I220" s="307"/>
      <c r="J220" s="307"/>
      <c r="K220" s="307"/>
      <c r="L220" s="307"/>
      <c r="M220" s="307"/>
      <c r="N220" s="307"/>
      <c r="O220" s="307"/>
      <c r="P220" s="307"/>
      <c r="Q220" s="307"/>
      <c r="R220" s="307"/>
      <c r="S220" s="307"/>
      <c r="T220" s="307"/>
      <c r="U220" s="308"/>
      <c r="V220" s="308"/>
      <c r="W220" s="308"/>
    </row>
    <row r="221">
      <c r="A221" s="22"/>
      <c r="B221" s="22"/>
      <c r="C221" s="22"/>
      <c r="D221" s="22"/>
      <c r="E221" s="22"/>
      <c r="F221" s="22"/>
      <c r="G221" s="22"/>
      <c r="H221" s="22"/>
      <c r="I221" s="22"/>
      <c r="J221" s="22"/>
      <c r="K221" s="22"/>
      <c r="L221" s="22"/>
      <c r="M221" s="22"/>
      <c r="N221" s="22"/>
      <c r="O221" s="22"/>
      <c r="P221" s="22"/>
      <c r="Q221" s="22"/>
      <c r="R221" s="22"/>
      <c r="S221" s="22"/>
      <c r="T221" s="22"/>
      <c r="U221" s="23"/>
      <c r="V221" s="23"/>
      <c r="W221" s="23"/>
    </row>
    <row r="222">
      <c r="A222" s="22"/>
      <c r="B222" s="22"/>
      <c r="C222" s="22"/>
      <c r="D222" s="22"/>
      <c r="E222" s="22"/>
      <c r="F222" s="22"/>
      <c r="G222" s="22"/>
      <c r="H222" s="22"/>
      <c r="I222" s="22"/>
      <c r="J222" s="22"/>
      <c r="K222" s="22"/>
      <c r="L222" s="22"/>
      <c r="M222" s="22"/>
      <c r="N222" s="22"/>
      <c r="O222" s="22"/>
      <c r="P222" s="22"/>
      <c r="Q222" s="22"/>
      <c r="R222" s="22"/>
      <c r="S222" s="22"/>
      <c r="T222" s="22"/>
      <c r="U222" s="23"/>
      <c r="V222" s="23"/>
      <c r="W222" s="23"/>
    </row>
    <row r="223">
      <c r="A223" s="22"/>
      <c r="B223" s="22"/>
      <c r="C223" s="22"/>
      <c r="D223" s="22"/>
      <c r="E223" s="144" t="s">
        <v>289</v>
      </c>
      <c r="F223" s="10"/>
      <c r="G223" s="10"/>
      <c r="H223" s="10"/>
      <c r="I223" s="11"/>
      <c r="J223" s="22"/>
      <c r="K223" s="22"/>
      <c r="L223" s="22"/>
      <c r="M223" s="22"/>
      <c r="N223" s="22"/>
      <c r="O223" s="22"/>
      <c r="P223" s="22"/>
      <c r="Q223" s="22"/>
      <c r="R223" s="22"/>
      <c r="S223" s="22"/>
      <c r="T223" s="22"/>
      <c r="U223" s="23"/>
      <c r="V223" s="23"/>
      <c r="W223" s="23"/>
    </row>
    <row r="224" ht="18.0" customHeight="1">
      <c r="A224" s="22"/>
      <c r="B224" s="22"/>
      <c r="C224" s="22"/>
      <c r="D224" s="22"/>
      <c r="E224" s="14"/>
      <c r="F224" s="15"/>
      <c r="G224" s="15"/>
      <c r="H224" s="15"/>
      <c r="I224" s="16"/>
      <c r="J224" s="22"/>
      <c r="K224" s="22"/>
      <c r="L224" s="22"/>
      <c r="M224" s="22"/>
      <c r="N224" s="22"/>
      <c r="O224" s="22"/>
      <c r="P224" s="22"/>
      <c r="Q224" s="22"/>
      <c r="R224" s="22"/>
      <c r="S224" s="22"/>
      <c r="T224" s="22"/>
      <c r="U224" s="23"/>
      <c r="V224" s="23"/>
      <c r="W224" s="23"/>
    </row>
    <row r="225">
      <c r="A225" s="22"/>
      <c r="B225" s="22"/>
      <c r="C225" s="22"/>
      <c r="D225" s="22"/>
      <c r="E225" s="22"/>
      <c r="F225" s="22"/>
      <c r="G225" s="22"/>
      <c r="H225" s="22"/>
      <c r="I225" s="22"/>
      <c r="J225" s="22"/>
      <c r="K225" s="22"/>
      <c r="L225" s="22"/>
      <c r="M225" s="22"/>
      <c r="N225" s="22"/>
      <c r="O225" s="22"/>
      <c r="P225" s="145" t="s">
        <v>161</v>
      </c>
      <c r="Q225" s="35"/>
      <c r="R225" s="36"/>
      <c r="S225" s="145" t="s">
        <v>162</v>
      </c>
      <c r="T225" s="35"/>
      <c r="U225" s="36"/>
      <c r="W225" s="23"/>
    </row>
    <row r="226" collapsed="1">
      <c r="A226" s="146" t="s">
        <v>290</v>
      </c>
      <c r="B226" s="146"/>
      <c r="C226" s="147"/>
      <c r="D226" s="278"/>
      <c r="E226" s="148" t="s">
        <v>164</v>
      </c>
      <c r="F226" s="35"/>
      <c r="G226" s="35"/>
      <c r="H226" s="36"/>
      <c r="I226" s="302"/>
      <c r="J226" s="35"/>
      <c r="K226" s="35"/>
      <c r="L226" s="35"/>
      <c r="M226" s="36"/>
      <c r="N226" s="22"/>
      <c r="O226" s="22"/>
      <c r="P226" s="150"/>
      <c r="Q226" s="35"/>
      <c r="R226" s="36"/>
      <c r="S226" s="150"/>
      <c r="T226" s="35"/>
      <c r="U226" s="36"/>
      <c r="V226" s="23"/>
      <c r="W226" s="151"/>
    </row>
    <row r="227" hidden="1" outlineLevel="1">
      <c r="A227" s="22"/>
      <c r="B227" s="22"/>
      <c r="C227" s="22"/>
      <c r="D227" s="22"/>
      <c r="E227" s="152" t="s">
        <v>165</v>
      </c>
      <c r="F227" s="35"/>
      <c r="G227" s="35"/>
      <c r="H227" s="35"/>
      <c r="I227" s="153"/>
      <c r="J227" s="154" t="s">
        <v>166</v>
      </c>
      <c r="K227" s="36"/>
      <c r="L227" s="155"/>
      <c r="M227" s="36"/>
      <c r="N227" s="22"/>
      <c r="O227" s="22"/>
      <c r="P227" s="150"/>
      <c r="Q227" s="35"/>
      <c r="R227" s="36"/>
      <c r="S227" s="150"/>
      <c r="T227" s="35"/>
      <c r="U227" s="36"/>
      <c r="V227" s="23"/>
      <c r="W227" s="23"/>
    </row>
    <row r="228" hidden="1" outlineLevel="1">
      <c r="A228" s="45"/>
      <c r="B228" s="43"/>
      <c r="C228" s="43"/>
      <c r="D228" s="43"/>
      <c r="E228" s="309" t="s">
        <v>291</v>
      </c>
      <c r="F228" s="157"/>
      <c r="G228" s="157"/>
      <c r="H228" s="157"/>
      <c r="I228" s="157"/>
      <c r="J228" s="157"/>
      <c r="K228" s="157"/>
      <c r="L228" s="157"/>
      <c r="M228" s="158"/>
      <c r="N228" s="43"/>
      <c r="O228" s="43"/>
      <c r="P228" s="150"/>
      <c r="Q228" s="35"/>
      <c r="R228" s="36"/>
      <c r="S228" s="150"/>
      <c r="T228" s="35"/>
      <c r="U228" s="36"/>
      <c r="V228" s="23"/>
      <c r="W228" s="23"/>
    </row>
    <row r="229" collapsed="1">
      <c r="A229" s="146" t="s">
        <v>292</v>
      </c>
      <c r="B229" s="146"/>
      <c r="C229" s="147"/>
      <c r="D229" s="278"/>
      <c r="E229" s="148" t="s">
        <v>169</v>
      </c>
      <c r="F229" s="35"/>
      <c r="G229" s="35"/>
      <c r="H229" s="35"/>
      <c r="I229" s="35"/>
      <c r="J229" s="35"/>
      <c r="K229" s="35"/>
      <c r="L229" s="159" t="s">
        <v>170</v>
      </c>
      <c r="M229" s="160" t="s">
        <v>171</v>
      </c>
      <c r="N229" s="22"/>
      <c r="O229" s="22"/>
      <c r="P229" s="161"/>
      <c r="Q229" s="35"/>
      <c r="R229" s="36"/>
      <c r="S229" s="150"/>
      <c r="T229" s="35"/>
      <c r="U229" s="36"/>
      <c r="V229" s="23"/>
      <c r="W229" s="23"/>
    </row>
    <row r="230" hidden="1" outlineLevel="1">
      <c r="A230" s="22"/>
      <c r="B230" s="22"/>
      <c r="C230" s="22"/>
      <c r="D230" s="22"/>
      <c r="E230" s="162" t="s">
        <v>172</v>
      </c>
      <c r="F230" s="128"/>
      <c r="G230" s="128"/>
      <c r="H230" s="128"/>
      <c r="I230" s="128"/>
      <c r="J230" s="128"/>
      <c r="K230" s="163"/>
      <c r="L230" s="164" t="str">
        <f>IF(OR(L227="Federal Mobility Budget", L227="Commute", L227="professional travel"), "Yes", IF(L227="EV Charging &amp; Fuel", "No", ""))</f>
        <v/>
      </c>
      <c r="M230" s="165" t="str">
        <f>L230</f>
        <v/>
      </c>
      <c r="N230" s="22"/>
      <c r="O230" s="22"/>
      <c r="P230" s="161"/>
      <c r="Q230" s="35"/>
      <c r="R230" s="36"/>
      <c r="S230" s="150"/>
      <c r="T230" s="35"/>
      <c r="U230" s="36"/>
      <c r="V230" s="23"/>
      <c r="W230" s="23"/>
    </row>
    <row r="231" hidden="1" outlineLevel="1">
      <c r="A231" s="22"/>
      <c r="B231" s="22"/>
      <c r="C231" s="22"/>
      <c r="D231" s="22"/>
      <c r="E231" s="152" t="s">
        <v>173</v>
      </c>
      <c r="F231" s="131"/>
      <c r="G231" s="131"/>
      <c r="H231" s="131"/>
      <c r="I231" s="131"/>
      <c r="J231" s="131"/>
      <c r="K231" s="166"/>
      <c r="L231" s="167" t="str">
        <f>IF(L227="Commute","Often",IF(L227="Federal Mobility Budget","Often",IF(OR(L227="Professional Travel",L227="EV Charging &amp; Fuel"),"No",L227)))</f>
        <v/>
      </c>
      <c r="M231" s="165"/>
      <c r="N231" s="22"/>
      <c r="O231" s="22"/>
      <c r="P231" s="169"/>
      <c r="Q231" s="35"/>
      <c r="R231" s="36"/>
      <c r="S231" s="150"/>
      <c r="T231" s="35"/>
      <c r="U231" s="36"/>
      <c r="V231" s="23"/>
      <c r="W231" s="23"/>
    </row>
    <row r="232" hidden="1" outlineLevel="1">
      <c r="A232" s="22"/>
      <c r="B232" s="22"/>
      <c r="C232" s="22"/>
      <c r="D232" s="22"/>
      <c r="E232" s="162" t="s">
        <v>174</v>
      </c>
      <c r="F232" s="128"/>
      <c r="G232" s="128"/>
      <c r="H232" s="128"/>
      <c r="I232" s="128"/>
      <c r="J232" s="128"/>
      <c r="K232" s="163"/>
      <c r="L232" s="170" t="str">
        <f>IF(OR(L227="Federal Mobility Budget"), "Yes", IF(OR(L227="professional travel", L227="EV Charging &amp; Fuel", L227="Commute"), "No", ""))</f>
        <v/>
      </c>
      <c r="M232" s="165" t="str">
        <f>L232</f>
        <v/>
      </c>
      <c r="N232" s="22"/>
      <c r="O232" s="22"/>
      <c r="P232" s="161"/>
      <c r="Q232" s="35"/>
      <c r="R232" s="36"/>
      <c r="S232" s="150"/>
      <c r="T232" s="35"/>
      <c r="U232" s="36"/>
      <c r="V232" s="23"/>
      <c r="W232" s="23"/>
    </row>
    <row r="233" hidden="1" outlineLevel="1">
      <c r="A233" s="22"/>
      <c r="B233" s="22"/>
      <c r="C233" s="22"/>
      <c r="D233" s="22"/>
      <c r="E233" s="152" t="s">
        <v>175</v>
      </c>
      <c r="F233" s="131"/>
      <c r="G233" s="131"/>
      <c r="H233" s="131"/>
      <c r="I233" s="131"/>
      <c r="J233" s="131"/>
      <c r="K233" s="166"/>
      <c r="L233" s="171" t="str">
        <f>IF(L227="Commute","Often",IF(L227="Federal Mobility Budget","Yes",IF(OR(L227="EV Charging &amp; Fuel",L227="professional travel"),"No","")))
</f>
        <v/>
      </c>
      <c r="M233" s="165"/>
      <c r="N233" s="22"/>
      <c r="O233" s="22"/>
      <c r="P233" s="169"/>
      <c r="Q233" s="35"/>
      <c r="R233" s="36"/>
      <c r="S233" s="150"/>
      <c r="T233" s="35"/>
      <c r="U233" s="36"/>
      <c r="V233" s="23"/>
      <c r="W233" s="23"/>
    </row>
    <row r="234" hidden="1" outlineLevel="1">
      <c r="A234" s="22"/>
      <c r="B234" s="22"/>
      <c r="C234" s="22"/>
      <c r="D234" s="22"/>
      <c r="E234" s="162" t="s">
        <v>176</v>
      </c>
      <c r="F234" s="128"/>
      <c r="G234" s="128"/>
      <c r="H234" s="128"/>
      <c r="I234" s="128"/>
      <c r="J234" s="128"/>
      <c r="K234" s="163"/>
      <c r="L234" s="170" t="str">
        <f>IF(OR(L227="Federal Mobility Budget"), "Yes", IF(OR(L227="professional travel", L227="EV Charging &amp; Fuel", L227="Commute"), "No", ""))</f>
        <v/>
      </c>
      <c r="M234" s="165" t="str">
        <f>L234</f>
        <v/>
      </c>
      <c r="N234" s="22"/>
      <c r="O234" s="22"/>
      <c r="P234" s="161"/>
      <c r="Q234" s="35"/>
      <c r="R234" s="36"/>
      <c r="S234" s="150"/>
      <c r="T234" s="35"/>
      <c r="U234" s="36"/>
      <c r="V234" s="23"/>
      <c r="W234" s="23"/>
    </row>
    <row r="235" hidden="1" outlineLevel="1">
      <c r="A235" s="22"/>
      <c r="B235" s="22"/>
      <c r="C235" s="22"/>
      <c r="D235" s="22"/>
      <c r="E235" s="152" t="s">
        <v>177</v>
      </c>
      <c r="F235" s="131"/>
      <c r="G235" s="131"/>
      <c r="H235" s="131"/>
      <c r="I235" s="131"/>
      <c r="J235" s="131"/>
      <c r="K235" s="166"/>
      <c r="L235" s="171" t="str">
        <f>IF(OR(L227="Federal Mobility Budget"), "Often", IF(OR(L227="professional travel", L227="EV Charging &amp; Fuel", L227="Commute"), "No", ""))</f>
        <v/>
      </c>
      <c r="M235" s="165"/>
      <c r="N235" s="22"/>
      <c r="O235" s="22"/>
      <c r="P235" s="169"/>
      <c r="Q235" s="35"/>
      <c r="R235" s="36"/>
      <c r="S235" s="150"/>
      <c r="T235" s="35"/>
      <c r="U235" s="36"/>
      <c r="V235" s="23"/>
      <c r="W235" s="23"/>
    </row>
    <row r="236" hidden="1" outlineLevel="1">
      <c r="A236" s="22"/>
      <c r="B236" s="22"/>
      <c r="C236" s="22"/>
      <c r="D236" s="22"/>
      <c r="E236" s="162" t="s">
        <v>178</v>
      </c>
      <c r="F236" s="128"/>
      <c r="G236" s="128"/>
      <c r="H236" s="128"/>
      <c r="I236" s="128"/>
      <c r="J236" s="128"/>
      <c r="K236" s="163"/>
      <c r="L236" s="170" t="str">
        <f>IF(OR(L227="Federal Mobility Budget"), "Yes", IF(OR(L227="professional travel", L227="EV Charging &amp; Fuel", L227="Commute"), "No", ""))</f>
        <v/>
      </c>
      <c r="M236" s="165" t="str">
        <f t="shared" ref="M236:M248" si="11">L236</f>
        <v/>
      </c>
      <c r="N236" s="22"/>
      <c r="O236" s="22"/>
      <c r="P236" s="161"/>
      <c r="Q236" s="35"/>
      <c r="R236" s="36"/>
      <c r="S236" s="150"/>
      <c r="T236" s="35"/>
      <c r="U236" s="36"/>
      <c r="V236" s="23"/>
      <c r="W236" s="23"/>
    </row>
    <row r="237" hidden="1" outlineLevel="1">
      <c r="A237" s="22"/>
      <c r="B237" s="22"/>
      <c r="C237" s="22"/>
      <c r="D237" s="22"/>
      <c r="E237" s="152" t="s">
        <v>179</v>
      </c>
      <c r="F237" s="131"/>
      <c r="G237" s="131"/>
      <c r="H237" s="131"/>
      <c r="I237" s="131"/>
      <c r="J237" s="131"/>
      <c r="K237" s="166"/>
      <c r="L237" s="171" t="str">
        <f>IF(OR(L227="Federal Mobility Budget", L227="professional travel"), "Yes", IF(OR(L227="EV Charging &amp; Fuel", L227="Commute"), "No", ""))</f>
        <v/>
      </c>
      <c r="M237" s="165" t="str">
        <f t="shared" si="11"/>
        <v/>
      </c>
      <c r="N237" s="22"/>
      <c r="O237" s="22"/>
      <c r="P237" s="161"/>
      <c r="Q237" s="35"/>
      <c r="R237" s="36"/>
      <c r="S237" s="150"/>
      <c r="T237" s="35"/>
      <c r="U237" s="36"/>
      <c r="V237" s="23"/>
      <c r="W237" s="23"/>
    </row>
    <row r="238" hidden="1" outlineLevel="1">
      <c r="A238" s="22"/>
      <c r="B238" s="22"/>
      <c r="C238" s="22"/>
      <c r="D238" s="22"/>
      <c r="E238" s="162" t="s">
        <v>180</v>
      </c>
      <c r="F238" s="128"/>
      <c r="G238" s="128"/>
      <c r="H238" s="128"/>
      <c r="I238" s="128"/>
      <c r="J238" s="128"/>
      <c r="K238" s="163"/>
      <c r="L238" s="170" t="str">
        <f>IF(OR(L227="Federal Mobility Budget"), "Yes", IF(OR(L227="professional travel", L227="EV Charging &amp; Fuel", L227="Commute"), "No", ""))</f>
        <v/>
      </c>
      <c r="M238" s="165" t="str">
        <f t="shared" si="11"/>
        <v/>
      </c>
      <c r="N238" s="22"/>
      <c r="O238" s="22"/>
      <c r="P238" s="161"/>
      <c r="Q238" s="35"/>
      <c r="R238" s="36"/>
      <c r="S238" s="150"/>
      <c r="T238" s="35"/>
      <c r="U238" s="36"/>
      <c r="V238" s="23"/>
      <c r="W238" s="23"/>
    </row>
    <row r="239" hidden="1" outlineLevel="1">
      <c r="A239" s="22"/>
      <c r="B239" s="22"/>
      <c r="C239" s="22"/>
      <c r="D239" s="22"/>
      <c r="E239" s="152" t="s">
        <v>181</v>
      </c>
      <c r="F239" s="131"/>
      <c r="G239" s="131"/>
      <c r="H239" s="131"/>
      <c r="I239" s="131"/>
      <c r="J239" s="131"/>
      <c r="K239" s="166"/>
      <c r="L239" s="171" t="str">
        <f>IF(OR(L227="Federal Mobility Budget", L227="Commute", L227="professional travel"), "Yes", IF(L227="EV Charging &amp; Fuel", "No", ""))</f>
        <v/>
      </c>
      <c r="M239" s="165" t="str">
        <f t="shared" si="11"/>
        <v/>
      </c>
      <c r="N239" s="22"/>
      <c r="O239" s="22"/>
      <c r="P239" s="161"/>
      <c r="Q239" s="35"/>
      <c r="R239" s="36"/>
      <c r="S239" s="150"/>
      <c r="T239" s="35"/>
      <c r="U239" s="36"/>
      <c r="V239" s="23"/>
      <c r="W239" s="23"/>
    </row>
    <row r="240" hidden="1" outlineLevel="1">
      <c r="A240" s="22"/>
      <c r="B240" s="22"/>
      <c r="C240" s="22"/>
      <c r="D240" s="22"/>
      <c r="E240" s="162" t="s">
        <v>182</v>
      </c>
      <c r="F240" s="128"/>
      <c r="G240" s="128"/>
      <c r="H240" s="128"/>
      <c r="I240" s="128"/>
      <c r="J240" s="128"/>
      <c r="K240" s="163"/>
      <c r="L240" s="170" t="str">
        <f>IF(OR(L227="Federal Mobility Budget", L227="Commute", L227="professional travel"), "Yes", IF(L227="EV Charging &amp; Fuel", "No", ""))</f>
        <v/>
      </c>
      <c r="M240" s="165" t="str">
        <f t="shared" si="11"/>
        <v/>
      </c>
      <c r="N240" s="22"/>
      <c r="O240" s="22"/>
      <c r="P240" s="161"/>
      <c r="Q240" s="35"/>
      <c r="R240" s="36"/>
      <c r="S240" s="150"/>
      <c r="T240" s="35"/>
      <c r="U240" s="36"/>
      <c r="V240" s="23"/>
      <c r="W240" s="23"/>
    </row>
    <row r="241" hidden="1" outlineLevel="1">
      <c r="A241" s="22"/>
      <c r="B241" s="22"/>
      <c r="C241" s="22"/>
      <c r="D241" s="22"/>
      <c r="E241" s="152" t="s">
        <v>183</v>
      </c>
      <c r="F241" s="131"/>
      <c r="G241" s="131"/>
      <c r="H241" s="131"/>
      <c r="I241" s="131"/>
      <c r="J241" s="131"/>
      <c r="K241" s="166"/>
      <c r="L241" s="171" t="str">
        <f>IF(OR(L227="Federal Mobility Budget"), "Yes", IF(OR(L227="professional travel", L227="EV Charging &amp; Fuel", L227="Commute"), "No", ""))</f>
        <v/>
      </c>
      <c r="M241" s="165" t="str">
        <f t="shared" si="11"/>
        <v/>
      </c>
      <c r="N241" s="22"/>
      <c r="O241" s="22"/>
      <c r="P241" s="161"/>
      <c r="Q241" s="35"/>
      <c r="R241" s="36"/>
      <c r="S241" s="150"/>
      <c r="T241" s="35"/>
      <c r="U241" s="36"/>
      <c r="V241" s="23"/>
      <c r="W241" s="23"/>
    </row>
    <row r="242" hidden="1" outlineLevel="1">
      <c r="A242" s="22"/>
      <c r="B242" s="22"/>
      <c r="C242" s="22"/>
      <c r="D242" s="22"/>
      <c r="E242" s="162" t="s">
        <v>184</v>
      </c>
      <c r="F242" s="128"/>
      <c r="G242" s="128"/>
      <c r="H242" s="128"/>
      <c r="I242" s="128"/>
      <c r="J242" s="128"/>
      <c r="K242" s="163"/>
      <c r="L242" s="170" t="str">
        <f>IF(OR(L227="professional travel"), "Yes", IF(OR(L227="Federal Mobility Budget", L227="EV Charging &amp; Fuel", L227="Commute"), "No", ""))</f>
        <v/>
      </c>
      <c r="M242" s="165" t="str">
        <f t="shared" si="11"/>
        <v/>
      </c>
      <c r="N242" s="22"/>
      <c r="O242" s="22"/>
      <c r="P242" s="161"/>
      <c r="Q242" s="35"/>
      <c r="R242" s="36"/>
      <c r="S242" s="150"/>
      <c r="T242" s="35"/>
      <c r="U242" s="36"/>
      <c r="V242" s="23"/>
      <c r="W242" s="23"/>
    </row>
    <row r="243" hidden="1" outlineLevel="1">
      <c r="A243" s="22"/>
      <c r="B243" s="22"/>
      <c r="C243" s="22"/>
      <c r="D243" s="22"/>
      <c r="E243" s="152" t="s">
        <v>185</v>
      </c>
      <c r="F243" s="131"/>
      <c r="G243" s="131"/>
      <c r="H243" s="131"/>
      <c r="I243" s="131"/>
      <c r="J243" s="131"/>
      <c r="K243" s="166"/>
      <c r="L243" s="171" t="str">
        <f>IF(OR(L227="Federal Mobility Budget", L227="Commute", L227="professional travel"), "Yes", IF(L227="EV Charging &amp; Fuel", "No", ""))</f>
        <v/>
      </c>
      <c r="M243" s="165" t="str">
        <f t="shared" si="11"/>
        <v/>
      </c>
      <c r="N243" s="22"/>
      <c r="O243" s="22"/>
      <c r="P243" s="161"/>
      <c r="Q243" s="35"/>
      <c r="R243" s="36"/>
      <c r="S243" s="150"/>
      <c r="T243" s="35"/>
      <c r="U243" s="36"/>
      <c r="V243" s="23"/>
      <c r="W243" s="23"/>
    </row>
    <row r="244" hidden="1" outlineLevel="1">
      <c r="A244" s="22"/>
      <c r="B244" s="22"/>
      <c r="C244" s="22"/>
      <c r="D244" s="22"/>
      <c r="E244" s="162" t="s">
        <v>186</v>
      </c>
      <c r="F244" s="128"/>
      <c r="G244" s="128"/>
      <c r="H244" s="128"/>
      <c r="I244" s="128"/>
      <c r="J244" s="128"/>
      <c r="K244" s="163"/>
      <c r="L244" s="170" t="str">
        <f>IF(OR(L227="Federal Mobility Budget", L227="Commute", L227="professional travel"), "Yes", IF(L227="EV Charging &amp; Fuel", "No", ""))</f>
        <v/>
      </c>
      <c r="M244" s="165" t="str">
        <f t="shared" si="11"/>
        <v/>
      </c>
      <c r="N244" s="22"/>
      <c r="O244" s="22"/>
      <c r="P244" s="161"/>
      <c r="Q244" s="35"/>
      <c r="R244" s="36"/>
      <c r="S244" s="150"/>
      <c r="T244" s="35"/>
      <c r="U244" s="36"/>
      <c r="V244" s="23"/>
      <c r="W244" s="23"/>
    </row>
    <row r="245" hidden="1" outlineLevel="1">
      <c r="A245" s="22"/>
      <c r="B245" s="22"/>
      <c r="C245" s="22"/>
      <c r="D245" s="22"/>
      <c r="E245" s="152" t="s">
        <v>187</v>
      </c>
      <c r="F245" s="131"/>
      <c r="G245" s="131"/>
      <c r="H245" s="131"/>
      <c r="I245" s="131"/>
      <c r="J245" s="131"/>
      <c r="K245" s="166"/>
      <c r="L245" s="171" t="str">
        <f>IF(OR(L227="Federal Mobility Budget", L227="professional travel"), "Yes", IF(OR(L227="EV Charging &amp; Fuel", L227="Commute"), "No", ""))</f>
        <v/>
      </c>
      <c r="M245" s="165" t="str">
        <f t="shared" si="11"/>
        <v/>
      </c>
      <c r="N245" s="22"/>
      <c r="O245" s="22"/>
      <c r="P245" s="161"/>
      <c r="Q245" s="35"/>
      <c r="R245" s="36"/>
      <c r="S245" s="150"/>
      <c r="T245" s="35"/>
      <c r="U245" s="36"/>
      <c r="V245" s="23"/>
      <c r="W245" s="23"/>
    </row>
    <row r="246" hidden="1" outlineLevel="1">
      <c r="A246" s="22"/>
      <c r="B246" s="22"/>
      <c r="C246" s="22"/>
      <c r="D246" s="22"/>
      <c r="E246" s="162" t="s">
        <v>188</v>
      </c>
      <c r="F246" s="128"/>
      <c r="G246" s="128"/>
      <c r="H246" s="128"/>
      <c r="I246" s="128"/>
      <c r="J246" s="128"/>
      <c r="K246" s="163"/>
      <c r="L246" s="170" t="str">
        <f>IF(OR(L227="Federal Mobility Budget", L227="Commute", L227="professional travel"), "No", IF(L227="EV Charging &amp; Fuel", "Yes", ""))</f>
        <v/>
      </c>
      <c r="M246" s="165" t="str">
        <f t="shared" si="11"/>
        <v/>
      </c>
      <c r="N246" s="22"/>
      <c r="O246" s="22"/>
      <c r="P246" s="161"/>
      <c r="Q246" s="35"/>
      <c r="R246" s="36"/>
      <c r="S246" s="150"/>
      <c r="T246" s="35"/>
      <c r="U246" s="36"/>
      <c r="V246" s="23"/>
      <c r="W246" s="23"/>
    </row>
    <row r="247" hidden="1" outlineLevel="1">
      <c r="A247" s="22"/>
      <c r="B247" s="22"/>
      <c r="C247" s="22"/>
      <c r="D247" s="22"/>
      <c r="E247" s="310" t="s">
        <v>189</v>
      </c>
      <c r="F247" s="35"/>
      <c r="G247" s="35"/>
      <c r="H247" s="35"/>
      <c r="I247" s="35"/>
      <c r="J247" s="35"/>
      <c r="K247" s="153"/>
      <c r="L247" s="171" t="str">
        <f>IF(OR(L227="Federal Mobility Budget", L227="Commute", L227="professional travel"), "No", IF(L227="EV Charging &amp; Fuel", "No", ""))</f>
        <v/>
      </c>
      <c r="M247" s="165" t="str">
        <f t="shared" si="11"/>
        <v/>
      </c>
      <c r="N247" s="22"/>
      <c r="O247" s="22"/>
      <c r="P247" s="161"/>
      <c r="Q247" s="35"/>
      <c r="R247" s="36"/>
      <c r="S247" s="150"/>
      <c r="T247" s="35"/>
      <c r="U247" s="36"/>
      <c r="V247" s="23"/>
      <c r="W247" s="23"/>
    </row>
    <row r="248" hidden="1" outlineLevel="1" collapsed="1">
      <c r="A248" s="22"/>
      <c r="B248" s="22"/>
      <c r="C248" s="22"/>
      <c r="D248" s="22"/>
      <c r="E248" s="162" t="s">
        <v>190</v>
      </c>
      <c r="F248" s="128"/>
      <c r="G248" s="128"/>
      <c r="H248" s="128"/>
      <c r="I248" s="128"/>
      <c r="J248" s="128"/>
      <c r="K248" s="163"/>
      <c r="L248" s="170" t="str">
        <f>IF(OR(L227="Federal Mobility Budget"), "Yes", IF(OR(L227="professional travel", L227="EV Charging &amp; Fuel", L227="Commute"), "No", ""))</f>
        <v/>
      </c>
      <c r="M248" s="165" t="str">
        <f t="shared" si="11"/>
        <v/>
      </c>
      <c r="N248" s="22"/>
      <c r="O248" s="22"/>
      <c r="P248" s="150"/>
      <c r="Q248" s="35"/>
      <c r="R248" s="36"/>
      <c r="S248" s="172"/>
      <c r="T248" s="172"/>
      <c r="U248" s="172"/>
      <c r="V248" s="23"/>
      <c r="W248" s="23"/>
    </row>
    <row r="249" hidden="1" outlineLevel="2">
      <c r="A249" s="22"/>
      <c r="B249" s="22"/>
      <c r="C249" s="22"/>
      <c r="D249" s="22"/>
      <c r="E249" s="173" t="s">
        <v>191</v>
      </c>
      <c r="F249" s="174"/>
      <c r="G249" s="174"/>
      <c r="H249" s="174"/>
      <c r="I249" s="174"/>
      <c r="J249" s="175"/>
      <c r="K249" s="176" t="str">
        <f>IF((L248="Yes"),"Yes allow","") </f>
        <v/>
      </c>
      <c r="L249" s="177"/>
      <c r="M249" s="18"/>
      <c r="N249" s="22"/>
      <c r="O249" s="22"/>
      <c r="P249" s="311"/>
      <c r="Q249" s="311"/>
      <c r="R249" s="311"/>
      <c r="S249" s="172"/>
      <c r="T249" s="172"/>
      <c r="U249" s="172"/>
      <c r="V249" s="23"/>
      <c r="W249" s="23"/>
    </row>
    <row r="250" hidden="1" outlineLevel="2">
      <c r="A250" s="22"/>
      <c r="B250" s="22"/>
      <c r="C250" s="22"/>
      <c r="D250" s="22"/>
      <c r="E250" s="178" t="s">
        <v>192</v>
      </c>
      <c r="F250" s="179"/>
      <c r="G250" s="179"/>
      <c r="H250" s="179"/>
      <c r="I250" s="179"/>
      <c r="J250" s="180"/>
      <c r="K250" s="304" t="str">
        <f>IF((L248="Yes"),"Yes allow","") </f>
        <v/>
      </c>
      <c r="L250" s="305"/>
      <c r="M250" s="18"/>
      <c r="N250" s="22"/>
      <c r="O250" s="22"/>
      <c r="P250" s="311"/>
      <c r="Q250" s="311"/>
      <c r="R250" s="311"/>
      <c r="S250" s="172"/>
      <c r="T250" s="172"/>
      <c r="U250" s="172"/>
      <c r="V250" s="23"/>
      <c r="W250" s="23"/>
    </row>
    <row r="251" hidden="1" outlineLevel="1" collapsed="1">
      <c r="A251" s="22"/>
      <c r="B251" s="22"/>
      <c r="C251" s="22"/>
      <c r="D251" s="22"/>
      <c r="E251" s="152" t="s">
        <v>293</v>
      </c>
      <c r="F251" s="35"/>
      <c r="G251" s="35"/>
      <c r="H251" s="35"/>
      <c r="I251" s="35"/>
      <c r="J251" s="35"/>
      <c r="K251" s="153"/>
      <c r="L251" s="171" t="str">
        <f>IF(OR(L227="Federal Mobility Budget", L227="Commute", L227="professional travel"), "Yes", IF(L227="EV Charging &amp; Fuel", "No", ""))</f>
        <v/>
      </c>
      <c r="M251" s="165" t="str">
        <f>L251</f>
        <v/>
      </c>
      <c r="N251" s="22"/>
      <c r="O251" s="22"/>
      <c r="P251" s="161"/>
      <c r="Q251" s="35"/>
      <c r="R251" s="36"/>
      <c r="S251" s="150"/>
      <c r="T251" s="35"/>
      <c r="U251" s="36"/>
      <c r="V251" s="23"/>
      <c r="W251" s="23"/>
    </row>
    <row r="252" hidden="1" outlineLevel="2">
      <c r="A252" s="22"/>
      <c r="B252" s="22"/>
      <c r="C252" s="22"/>
      <c r="D252" s="22"/>
      <c r="E252" s="182" t="s">
        <v>194</v>
      </c>
      <c r="F252" s="183"/>
      <c r="G252" s="183"/>
      <c r="H252" s="183"/>
      <c r="I252" s="183"/>
      <c r="J252" s="184"/>
      <c r="K252" s="185" t="str">
        <f>IF(OR(L251="Yes",L251="Often"),"0.37","") </f>
        <v/>
      </c>
      <c r="L252" s="186"/>
      <c r="M252" s="187" t="str">
        <f t="shared" ref="M252:M253" si="12">K252</f>
        <v/>
      </c>
      <c r="N252" s="22"/>
      <c r="O252" s="22"/>
      <c r="P252" s="161"/>
      <c r="Q252" s="35"/>
      <c r="R252" s="36"/>
      <c r="S252" s="150"/>
      <c r="T252" s="35"/>
      <c r="U252" s="36"/>
      <c r="V252" s="23"/>
      <c r="W252" s="23"/>
    </row>
    <row r="253" hidden="1" outlineLevel="2">
      <c r="A253" s="22"/>
      <c r="B253" s="22"/>
      <c r="C253" s="22"/>
      <c r="D253" s="22"/>
      <c r="E253" s="188" t="s">
        <v>195</v>
      </c>
      <c r="F253" s="189"/>
      <c r="G253" s="189"/>
      <c r="H253" s="189"/>
      <c r="I253" s="189"/>
      <c r="J253" s="190"/>
      <c r="K253" s="191" t="str">
        <f>IF(OR(L251="Yes",L251="Often"),"120","") </f>
        <v/>
      </c>
      <c r="L253" s="192"/>
      <c r="M253" s="193" t="str">
        <f t="shared" si="12"/>
        <v/>
      </c>
      <c r="N253" s="22"/>
      <c r="O253" s="22"/>
      <c r="P253" s="161"/>
      <c r="Q253" s="35"/>
      <c r="R253" s="36"/>
      <c r="S253" s="150"/>
      <c r="T253" s="35"/>
      <c r="U253" s="36"/>
      <c r="V253" s="23"/>
      <c r="W253" s="23"/>
    </row>
    <row r="254" hidden="1" outlineLevel="2">
      <c r="A254" s="22"/>
      <c r="B254" s="22"/>
      <c r="C254" s="22"/>
      <c r="D254" s="22"/>
      <c r="E254" s="188" t="s">
        <v>196</v>
      </c>
      <c r="F254" s="189"/>
      <c r="G254" s="189"/>
      <c r="H254" s="189"/>
      <c r="I254" s="189"/>
      <c r="J254" s="190"/>
      <c r="K254" s="191" t="str">
        <f>IF(OR(L251="Yes",L251="Often"),"No don't allow","") </f>
        <v/>
      </c>
      <c r="L254" s="192"/>
      <c r="M254" s="18"/>
      <c r="N254" s="22"/>
      <c r="O254" s="22"/>
      <c r="P254" s="161"/>
      <c r="Q254" s="35"/>
      <c r="R254" s="36"/>
      <c r="S254" s="150"/>
      <c r="T254" s="35"/>
      <c r="U254" s="36"/>
      <c r="V254" s="23"/>
      <c r="W254" s="23"/>
    </row>
    <row r="255" hidden="1" outlineLevel="2">
      <c r="A255" s="22"/>
      <c r="B255" s="22"/>
      <c r="C255" s="22"/>
      <c r="D255" s="22"/>
      <c r="E255" s="194" t="s">
        <v>197</v>
      </c>
      <c r="F255" s="195"/>
      <c r="G255" s="195"/>
      <c r="H255" s="195"/>
      <c r="I255" s="195"/>
      <c r="J255" s="196"/>
      <c r="K255" s="197" t="str">
        <f>IF(OR(L251="Yes",L251="Often"),"No auto-approved","") </f>
        <v/>
      </c>
      <c r="L255" s="198"/>
      <c r="M255" s="18"/>
      <c r="N255" s="22"/>
      <c r="O255" s="22"/>
      <c r="P255" s="161"/>
      <c r="Q255" s="35"/>
      <c r="R255" s="36"/>
      <c r="S255" s="150"/>
      <c r="T255" s="35"/>
      <c r="U255" s="36"/>
      <c r="V255" s="23"/>
      <c r="W255" s="23"/>
    </row>
    <row r="256" hidden="1" outlineLevel="1" collapsed="1">
      <c r="A256" s="22"/>
      <c r="B256" s="22"/>
      <c r="C256" s="22"/>
      <c r="D256" s="22"/>
      <c r="E256" s="162" t="s">
        <v>294</v>
      </c>
      <c r="F256" s="35"/>
      <c r="G256" s="35"/>
      <c r="H256" s="35"/>
      <c r="I256" s="35"/>
      <c r="J256" s="35"/>
      <c r="K256" s="199"/>
      <c r="L256" s="200" t="str">
        <f>IF(OR(L227="professional travel", L227="Commute"), "Yes", IF(OR(L227="Federal Mobility Budget", L227="EV Charging &amp; Fuel"), "No", ""))</f>
        <v/>
      </c>
      <c r="M256" s="165" t="str">
        <f>L256</f>
        <v/>
      </c>
      <c r="N256" s="22"/>
      <c r="O256" s="22"/>
      <c r="P256" s="161"/>
      <c r="Q256" s="35"/>
      <c r="R256" s="36"/>
      <c r="S256" s="150"/>
      <c r="T256" s="35"/>
      <c r="U256" s="36"/>
      <c r="V256" s="23"/>
      <c r="W256" s="23"/>
    </row>
    <row r="257" hidden="1" outlineLevel="2">
      <c r="A257" s="22"/>
      <c r="B257" s="22"/>
      <c r="C257" s="22"/>
      <c r="D257" s="22"/>
      <c r="E257" s="173" t="s">
        <v>194</v>
      </c>
      <c r="F257" s="201"/>
      <c r="G257" s="201"/>
      <c r="H257" s="201"/>
      <c r="I257" s="201"/>
      <c r="J257" s="202"/>
      <c r="K257" s="203" t="str">
        <f>IF(OR(L256="Yes",L256="Often"),"0.43","") </f>
        <v/>
      </c>
      <c r="L257" s="204"/>
      <c r="M257" s="187" t="str">
        <f t="shared" ref="M257:M258" si="13">K257</f>
        <v/>
      </c>
      <c r="N257" s="22"/>
      <c r="O257" s="22"/>
      <c r="P257" s="161"/>
      <c r="Q257" s="35"/>
      <c r="R257" s="36"/>
      <c r="S257" s="150"/>
      <c r="T257" s="35"/>
      <c r="U257" s="36"/>
      <c r="V257" s="23"/>
      <c r="W257" s="23"/>
    </row>
    <row r="258" hidden="1" outlineLevel="2">
      <c r="A258" s="22"/>
      <c r="B258" s="22"/>
      <c r="C258" s="22"/>
      <c r="D258" s="22"/>
      <c r="E258" s="205" t="s">
        <v>195</v>
      </c>
      <c r="F258" s="206"/>
      <c r="G258" s="206"/>
      <c r="H258" s="206"/>
      <c r="I258" s="206"/>
      <c r="J258" s="207"/>
      <c r="K258" s="176" t="str">
        <f>IF(OR(L256="Yes",L256="Often"),"250","") </f>
        <v/>
      </c>
      <c r="L258" s="208"/>
      <c r="M258" s="187" t="str">
        <f t="shared" si="13"/>
        <v/>
      </c>
      <c r="N258" s="22"/>
      <c r="O258" s="22"/>
      <c r="P258" s="161"/>
      <c r="Q258" s="35"/>
      <c r="R258" s="36"/>
      <c r="S258" s="150"/>
      <c r="T258" s="35"/>
      <c r="U258" s="36"/>
      <c r="V258" s="23"/>
      <c r="W258" s="23"/>
    </row>
    <row r="259" hidden="1" outlineLevel="2">
      <c r="A259" s="22"/>
      <c r="B259" s="22"/>
      <c r="C259" s="22"/>
      <c r="D259" s="22"/>
      <c r="E259" s="205" t="s">
        <v>196</v>
      </c>
      <c r="F259" s="206"/>
      <c r="G259" s="206"/>
      <c r="H259" s="206"/>
      <c r="I259" s="206"/>
      <c r="J259" s="207"/>
      <c r="K259" s="176" t="str">
        <f>IF(OR(L256="Yes",L256="Often"),"No don't allow","") </f>
        <v/>
      </c>
      <c r="L259" s="208"/>
      <c r="M259" s="18"/>
      <c r="N259" s="22"/>
      <c r="O259" s="22"/>
      <c r="P259" s="161"/>
      <c r="Q259" s="35"/>
      <c r="R259" s="36"/>
      <c r="S259" s="150"/>
      <c r="T259" s="35"/>
      <c r="U259" s="36"/>
      <c r="V259" s="23"/>
      <c r="W259" s="23"/>
    </row>
    <row r="260" hidden="1" outlineLevel="2">
      <c r="A260" s="22"/>
      <c r="B260" s="22"/>
      <c r="C260" s="22"/>
      <c r="D260" s="22"/>
      <c r="E260" s="178" t="s">
        <v>197</v>
      </c>
      <c r="F260" s="209"/>
      <c r="G260" s="209"/>
      <c r="H260" s="209"/>
      <c r="I260" s="209"/>
      <c r="J260" s="210"/>
      <c r="K260" s="176" t="str">
        <f>IF(OR(L256="Yes",L256="Often"),"No auto-approved","") </f>
        <v/>
      </c>
      <c r="L260" s="208"/>
      <c r="M260" s="18"/>
      <c r="N260" s="22"/>
      <c r="O260" s="22"/>
      <c r="P260" s="161"/>
      <c r="Q260" s="35"/>
      <c r="R260" s="36"/>
      <c r="S260" s="150"/>
      <c r="T260" s="35"/>
      <c r="U260" s="36"/>
      <c r="V260" s="23"/>
      <c r="W260" s="23"/>
    </row>
    <row r="261" hidden="1" outlineLevel="1" collapsed="1">
      <c r="A261" s="22"/>
      <c r="B261" s="22"/>
      <c r="C261" s="22"/>
      <c r="D261" s="22"/>
      <c r="E261" s="152" t="s">
        <v>295</v>
      </c>
      <c r="F261" s="35"/>
      <c r="G261" s="35"/>
      <c r="H261" s="35"/>
      <c r="I261" s="35"/>
      <c r="J261" s="35"/>
      <c r="K261" s="153"/>
      <c r="L261" s="211" t="str">
        <f>IF(L227="commute","Often",IF(L227="professional travel","Yes",IF(OR(L227="Federal Mobility Budget",L227="EV Charging &amp; Fuel"),"No",L227)))</f>
        <v/>
      </c>
      <c r="M261" s="165"/>
      <c r="N261" s="22"/>
      <c r="O261" s="22"/>
      <c r="P261" s="169"/>
      <c r="Q261" s="35"/>
      <c r="R261" s="36"/>
      <c r="S261" s="150"/>
      <c r="T261" s="35"/>
      <c r="U261" s="36"/>
      <c r="V261" s="23"/>
      <c r="W261" s="23"/>
    </row>
    <row r="262" hidden="1" outlineLevel="2">
      <c r="A262" s="22"/>
      <c r="B262" s="22"/>
      <c r="C262" s="22"/>
      <c r="D262" s="22"/>
      <c r="E262" s="182" t="s">
        <v>194</v>
      </c>
      <c r="F262" s="183"/>
      <c r="G262" s="183"/>
      <c r="H262" s="183"/>
      <c r="I262" s="183"/>
      <c r="J262" s="184"/>
      <c r="K262" s="185" t="str">
        <f>IF(OR(L261="Yes",L261="Often"),"0.43","") </f>
        <v/>
      </c>
      <c r="L262" s="186"/>
      <c r="M262" s="187" t="str">
        <f t="shared" ref="M262:M263" si="14">K262</f>
        <v/>
      </c>
      <c r="N262" s="22"/>
      <c r="O262" s="22"/>
      <c r="P262" s="161"/>
      <c r="Q262" s="35"/>
      <c r="R262" s="36"/>
      <c r="S262" s="150"/>
      <c r="T262" s="35"/>
      <c r="U262" s="36"/>
      <c r="V262" s="23"/>
      <c r="W262" s="23"/>
    </row>
    <row r="263" hidden="1" outlineLevel="2">
      <c r="A263" s="22"/>
      <c r="B263" s="22"/>
      <c r="C263" s="22"/>
      <c r="D263" s="22"/>
      <c r="E263" s="188" t="s">
        <v>195</v>
      </c>
      <c r="F263" s="189"/>
      <c r="G263" s="189"/>
      <c r="H263" s="189"/>
      <c r="I263" s="189"/>
      <c r="J263" s="190"/>
      <c r="K263" s="191" t="str">
        <f>IF(OR(L261="Yes",L261="Often"),"250","") </f>
        <v/>
      </c>
      <c r="L263" s="192"/>
      <c r="M263" s="187" t="str">
        <f t="shared" si="14"/>
        <v/>
      </c>
      <c r="N263" s="22"/>
      <c r="O263" s="22"/>
      <c r="P263" s="161"/>
      <c r="Q263" s="35"/>
      <c r="R263" s="36"/>
      <c r="S263" s="150"/>
      <c r="T263" s="35"/>
      <c r="U263" s="36"/>
      <c r="V263" s="23"/>
      <c r="W263" s="23"/>
    </row>
    <row r="264" hidden="1" outlineLevel="2">
      <c r="A264" s="22"/>
      <c r="B264" s="22"/>
      <c r="C264" s="22"/>
      <c r="D264" s="22"/>
      <c r="E264" s="188" t="s">
        <v>196</v>
      </c>
      <c r="F264" s="189"/>
      <c r="G264" s="189"/>
      <c r="H264" s="189"/>
      <c r="I264" s="189"/>
      <c r="J264" s="190"/>
      <c r="K264" s="191" t="str">
        <f>IF(OR(L261="Yes",L261="Often"),"No don't allow","") </f>
        <v/>
      </c>
      <c r="L264" s="192"/>
      <c r="M264" s="18"/>
      <c r="N264" s="22"/>
      <c r="O264" s="22"/>
      <c r="P264" s="161"/>
      <c r="Q264" s="35"/>
      <c r="R264" s="36"/>
      <c r="S264" s="150"/>
      <c r="T264" s="35"/>
      <c r="U264" s="36"/>
      <c r="V264" s="23"/>
      <c r="W264" s="23"/>
    </row>
    <row r="265" hidden="1" outlineLevel="2">
      <c r="A265" s="22"/>
      <c r="B265" s="22"/>
      <c r="C265" s="22"/>
      <c r="D265" s="22"/>
      <c r="E265" s="194" t="s">
        <v>197</v>
      </c>
      <c r="F265" s="195"/>
      <c r="G265" s="195"/>
      <c r="H265" s="195"/>
      <c r="I265" s="195"/>
      <c r="J265" s="196"/>
      <c r="K265" s="197" t="str">
        <f>IF(OR(L261="Yes",L261="Often"),"No auto-approved","") </f>
        <v/>
      </c>
      <c r="L265" s="198"/>
      <c r="M265" s="18"/>
      <c r="N265" s="22"/>
      <c r="O265" s="22"/>
      <c r="P265" s="161"/>
      <c r="Q265" s="35"/>
      <c r="R265" s="36"/>
      <c r="S265" s="150"/>
      <c r="T265" s="35"/>
      <c r="U265" s="36"/>
      <c r="V265" s="23"/>
      <c r="W265" s="23"/>
    </row>
    <row r="266" hidden="1" outlineLevel="1" collapsed="1">
      <c r="A266" s="22"/>
      <c r="B266" s="22"/>
      <c r="C266" s="22"/>
      <c r="D266" s="22"/>
      <c r="E266" s="162" t="s">
        <v>296</v>
      </c>
      <c r="F266" s="35"/>
      <c r="G266" s="35"/>
      <c r="H266" s="35"/>
      <c r="I266" s="35"/>
      <c r="J266" s="35"/>
      <c r="K266" s="199"/>
      <c r="L266" s="200" t="str">
        <f>IF(L227="Commute","Yes",IF(L227="Federal Mobility Budget","Often",IF(OR(L227="Professional Travel",L227="EV Charging &amp; Fuel"),"No",L227)))</f>
        <v/>
      </c>
      <c r="M266" s="165"/>
      <c r="N266" s="22"/>
      <c r="O266" s="22"/>
      <c r="P266" s="161"/>
      <c r="Q266" s="35"/>
      <c r="R266" s="36"/>
      <c r="S266" s="150"/>
      <c r="T266" s="35"/>
      <c r="U266" s="36"/>
      <c r="V266" s="23"/>
      <c r="W266" s="23"/>
    </row>
    <row r="267" hidden="1" outlineLevel="2">
      <c r="A267" s="22"/>
      <c r="B267" s="22"/>
      <c r="C267" s="22"/>
      <c r="D267" s="22"/>
      <c r="E267" s="173" t="s">
        <v>194</v>
      </c>
      <c r="F267" s="201"/>
      <c r="G267" s="201"/>
      <c r="H267" s="201"/>
      <c r="I267" s="201"/>
      <c r="J267" s="202"/>
      <c r="K267" s="203" t="str">
        <f>IF(OR(L266="Yes",L266="Often"),"0.36","") </f>
        <v/>
      </c>
      <c r="L267" s="204"/>
      <c r="M267" s="187" t="str">
        <f t="shared" ref="M267:M268" si="15">K267</f>
        <v/>
      </c>
      <c r="N267" s="22"/>
      <c r="O267" s="22"/>
      <c r="P267" s="150"/>
      <c r="Q267" s="35"/>
      <c r="R267" s="36"/>
      <c r="S267" s="150"/>
      <c r="T267" s="35"/>
      <c r="U267" s="36"/>
      <c r="V267" s="23"/>
      <c r="W267" s="23"/>
    </row>
    <row r="268" hidden="1" outlineLevel="2">
      <c r="A268" s="22"/>
      <c r="B268" s="22"/>
      <c r="C268" s="22"/>
      <c r="D268" s="22"/>
      <c r="E268" s="205" t="s">
        <v>195</v>
      </c>
      <c r="F268" s="206"/>
      <c r="G268" s="206"/>
      <c r="H268" s="206"/>
      <c r="I268" s="206"/>
      <c r="J268" s="207"/>
      <c r="K268" s="176" t="str">
        <f>IF(OR(L266="Yes",L266="Often"),"15","") </f>
        <v/>
      </c>
      <c r="L268" s="208"/>
      <c r="M268" s="187" t="str">
        <f t="shared" si="15"/>
        <v/>
      </c>
      <c r="N268" s="22"/>
      <c r="O268" s="22"/>
      <c r="P268" s="150"/>
      <c r="Q268" s="35"/>
      <c r="R268" s="36"/>
      <c r="S268" s="150"/>
      <c r="T268" s="35"/>
      <c r="U268" s="36"/>
      <c r="V268" s="23"/>
      <c r="W268" s="23"/>
    </row>
    <row r="269" hidden="1" outlineLevel="2">
      <c r="A269" s="22"/>
      <c r="B269" s="22"/>
      <c r="C269" s="22"/>
      <c r="D269" s="22"/>
      <c r="E269" s="205" t="s">
        <v>196</v>
      </c>
      <c r="F269" s="206"/>
      <c r="G269" s="206"/>
      <c r="H269" s="206"/>
      <c r="I269" s="206"/>
      <c r="J269" s="207"/>
      <c r="K269" s="176" t="str">
        <f>IF(OR(L266="Yes",L266="Often"),"No don't allow","") </f>
        <v/>
      </c>
      <c r="L269" s="208"/>
      <c r="M269" s="18"/>
      <c r="N269" s="22"/>
      <c r="O269" s="22"/>
      <c r="P269" s="150"/>
      <c r="Q269" s="35"/>
      <c r="R269" s="36"/>
      <c r="S269" s="150"/>
      <c r="T269" s="35"/>
      <c r="U269" s="36"/>
      <c r="V269" s="23"/>
      <c r="W269" s="23"/>
    </row>
    <row r="270" hidden="1" outlineLevel="2">
      <c r="A270" s="22"/>
      <c r="B270" s="22"/>
      <c r="C270" s="22"/>
      <c r="D270" s="22"/>
      <c r="E270" s="178" t="s">
        <v>197</v>
      </c>
      <c r="F270" s="209"/>
      <c r="G270" s="209"/>
      <c r="H270" s="209"/>
      <c r="I270" s="209"/>
      <c r="J270" s="210"/>
      <c r="K270" s="176" t="str">
        <f>IF(OR(L266="Yes",L266="Often"),"No auto-approved","") </f>
        <v/>
      </c>
      <c r="L270" s="208"/>
      <c r="M270" s="18"/>
      <c r="N270" s="22"/>
      <c r="O270" s="300"/>
      <c r="P270" s="150"/>
      <c r="Q270" s="35"/>
      <c r="R270" s="36"/>
      <c r="S270" s="150"/>
      <c r="T270" s="35"/>
      <c r="U270" s="36"/>
      <c r="V270" s="23"/>
      <c r="W270" s="23"/>
    </row>
    <row r="271" collapsed="1">
      <c r="A271" s="146" t="s">
        <v>297</v>
      </c>
      <c r="B271" s="146"/>
      <c r="C271" s="147"/>
      <c r="D271" s="278"/>
      <c r="E271" s="148" t="s">
        <v>202</v>
      </c>
      <c r="F271" s="35"/>
      <c r="G271" s="35"/>
      <c r="H271" s="35"/>
      <c r="I271" s="35"/>
      <c r="J271" s="35"/>
      <c r="K271" s="35"/>
      <c r="L271" s="35"/>
      <c r="M271" s="36"/>
      <c r="N271" s="22"/>
      <c r="O271" s="300"/>
      <c r="P271" s="150"/>
      <c r="Q271" s="35"/>
      <c r="R271" s="36"/>
      <c r="S271" s="150"/>
      <c r="T271" s="35"/>
      <c r="U271" s="36"/>
      <c r="V271" s="23"/>
      <c r="W271" s="23"/>
    </row>
    <row r="272" hidden="1" outlineLevel="1">
      <c r="A272" s="22"/>
      <c r="B272" s="22"/>
      <c r="C272" s="43"/>
      <c r="D272" s="22"/>
      <c r="E272" s="212" t="s">
        <v>298</v>
      </c>
      <c r="F272" s="10"/>
      <c r="G272" s="10"/>
      <c r="H272" s="10"/>
      <c r="I272" s="10"/>
      <c r="J272" s="10"/>
      <c r="K272" s="10"/>
      <c r="L272" s="213"/>
      <c r="M272" s="214"/>
      <c r="N272" s="22"/>
      <c r="O272" s="22"/>
      <c r="P272" s="150"/>
      <c r="Q272" s="35"/>
      <c r="R272" s="36"/>
      <c r="S272" s="150"/>
      <c r="T272" s="35"/>
      <c r="U272" s="36"/>
      <c r="V272" s="23"/>
      <c r="W272" s="23"/>
    </row>
    <row r="273" hidden="1" outlineLevel="1" collapsed="1">
      <c r="A273" s="22"/>
      <c r="B273" s="22"/>
      <c r="C273" s="43"/>
      <c r="D273" s="23"/>
      <c r="E273" s="215" t="s">
        <v>299</v>
      </c>
      <c r="F273" s="216"/>
      <c r="G273" s="216"/>
      <c r="H273" s="216"/>
      <c r="I273" s="216"/>
      <c r="J273" s="216"/>
      <c r="K273" s="216"/>
      <c r="L273" s="216"/>
      <c r="M273" s="217"/>
      <c r="N273" s="24"/>
      <c r="O273" s="22"/>
      <c r="P273" s="150"/>
      <c r="Q273" s="35"/>
      <c r="R273" s="36"/>
      <c r="S273" s="150"/>
      <c r="T273" s="35"/>
      <c r="U273" s="36"/>
      <c r="V273" s="23"/>
      <c r="W273" s="23"/>
    </row>
    <row r="274" hidden="1" outlineLevel="2">
      <c r="A274" s="218"/>
      <c r="B274" s="218"/>
      <c r="C274" s="219"/>
      <c r="D274" s="23"/>
      <c r="E274" s="220"/>
      <c r="F274" s="221" t="s">
        <v>206</v>
      </c>
      <c r="G274" s="222"/>
      <c r="H274" s="223"/>
      <c r="I274" s="223"/>
      <c r="J274" s="223"/>
      <c r="K274" s="223" t="s">
        <v>207</v>
      </c>
      <c r="L274" s="224" t="s">
        <v>208</v>
      </c>
      <c r="M274" s="225"/>
      <c r="N274" s="24"/>
      <c r="O274" s="22"/>
      <c r="P274" s="150"/>
      <c r="Q274" s="35"/>
      <c r="R274" s="36"/>
      <c r="S274" s="172"/>
      <c r="T274" s="172"/>
      <c r="U274" s="172"/>
      <c r="V274" s="23"/>
      <c r="W274" s="23"/>
    </row>
    <row r="275" hidden="1" outlineLevel="2">
      <c r="A275" s="218"/>
      <c r="B275" s="218"/>
      <c r="C275" s="219"/>
      <c r="D275" s="23"/>
      <c r="E275" s="220"/>
      <c r="F275" s="221" t="s">
        <v>209</v>
      </c>
      <c r="G275" s="222"/>
      <c r="H275" s="223"/>
      <c r="I275" s="223"/>
      <c r="J275" s="223"/>
      <c r="K275" s="223" t="s">
        <v>210</v>
      </c>
      <c r="L275" s="224" t="s">
        <v>211</v>
      </c>
      <c r="M275" s="225"/>
      <c r="N275" s="24"/>
      <c r="O275" s="22"/>
      <c r="P275" s="150"/>
      <c r="Q275" s="35"/>
      <c r="R275" s="36"/>
      <c r="S275" s="172"/>
      <c r="T275" s="172"/>
      <c r="U275" s="172"/>
      <c r="V275" s="23"/>
      <c r="W275" s="23"/>
    </row>
    <row r="276" hidden="1" outlineLevel="2">
      <c r="A276" s="218"/>
      <c r="B276" s="218"/>
      <c r="C276" s="219"/>
      <c r="D276" s="23"/>
      <c r="E276" s="220"/>
      <c r="F276" s="221" t="s">
        <v>212</v>
      </c>
      <c r="G276" s="222"/>
      <c r="H276" s="226" t="s">
        <v>213</v>
      </c>
      <c r="I276" s="189"/>
      <c r="J276" s="189"/>
      <c r="K276" s="190"/>
      <c r="L276" s="227"/>
      <c r="M276" s="225"/>
      <c r="N276" s="24"/>
      <c r="O276" s="22"/>
      <c r="P276" s="150"/>
      <c r="Q276" s="35"/>
      <c r="R276" s="36"/>
      <c r="S276" s="150"/>
      <c r="T276" s="35"/>
      <c r="U276" s="36"/>
      <c r="V276" s="23"/>
      <c r="W276" s="23"/>
    </row>
    <row r="277" hidden="1" outlineLevel="2">
      <c r="A277" s="218"/>
      <c r="B277" s="218"/>
      <c r="C277" s="219"/>
      <c r="D277" s="23"/>
      <c r="E277" s="220"/>
      <c r="F277" s="221" t="s">
        <v>214</v>
      </c>
      <c r="G277" s="222"/>
      <c r="H277" s="222"/>
      <c r="I277" s="226" t="s">
        <v>215</v>
      </c>
      <c r="J277" s="189"/>
      <c r="K277" s="190"/>
      <c r="L277" s="227"/>
      <c r="M277" s="225"/>
      <c r="N277" s="24"/>
      <c r="O277" s="22"/>
      <c r="P277" s="150"/>
      <c r="Q277" s="35"/>
      <c r="R277" s="36"/>
      <c r="S277" s="150"/>
      <c r="T277" s="35"/>
      <c r="U277" s="36"/>
      <c r="V277" s="23"/>
      <c r="W277" s="23"/>
    </row>
    <row r="278" hidden="1" outlineLevel="2">
      <c r="A278" s="218"/>
      <c r="B278" s="218"/>
      <c r="C278" s="219"/>
      <c r="D278" s="23"/>
      <c r="E278" s="220"/>
      <c r="F278" s="228" t="s">
        <v>216</v>
      </c>
      <c r="G278" s="222"/>
      <c r="H278" s="222"/>
      <c r="I278" s="223"/>
      <c r="J278" s="223"/>
      <c r="K278" s="223" t="s">
        <v>217</v>
      </c>
      <c r="L278" s="227"/>
      <c r="M278" s="225"/>
      <c r="N278" s="24"/>
      <c r="O278" s="22"/>
      <c r="P278" s="150"/>
      <c r="Q278" s="35"/>
      <c r="R278" s="36"/>
      <c r="S278" s="172"/>
      <c r="T278" s="172"/>
      <c r="U278" s="172"/>
      <c r="V278" s="23"/>
      <c r="W278" s="23"/>
    </row>
    <row r="279" hidden="1" outlineLevel="2">
      <c r="A279" s="218"/>
      <c r="B279" s="218"/>
      <c r="C279" s="219"/>
      <c r="D279" s="229"/>
      <c r="E279" s="230"/>
      <c r="F279" s="228" t="s">
        <v>218</v>
      </c>
      <c r="G279" s="231" t="s">
        <v>219</v>
      </c>
      <c r="H279" s="189"/>
      <c r="I279" s="189"/>
      <c r="J279" s="189"/>
      <c r="K279" s="190"/>
      <c r="L279" s="227"/>
      <c r="M279" s="225"/>
      <c r="N279" s="232"/>
      <c r="O279" s="22"/>
      <c r="P279" s="150"/>
      <c r="Q279" s="35"/>
      <c r="R279" s="36"/>
      <c r="S279" s="150"/>
      <c r="T279" s="35"/>
      <c r="U279" s="36"/>
      <c r="V279" s="229"/>
      <c r="W279" s="229"/>
    </row>
    <row r="280" hidden="1" outlineLevel="2">
      <c r="A280" s="218"/>
      <c r="B280" s="233"/>
      <c r="C280" s="234"/>
      <c r="D280" s="229"/>
      <c r="E280" s="230"/>
      <c r="F280" s="228" t="s">
        <v>220</v>
      </c>
      <c r="G280" s="235"/>
      <c r="H280" s="231" t="s">
        <v>221</v>
      </c>
      <c r="I280" s="189"/>
      <c r="J280" s="189"/>
      <c r="K280" s="190"/>
      <c r="L280" s="236"/>
      <c r="M280" s="237"/>
      <c r="N280" s="232"/>
      <c r="O280" s="22"/>
      <c r="P280" s="150"/>
      <c r="Q280" s="35"/>
      <c r="R280" s="36"/>
      <c r="S280" s="172"/>
      <c r="T280" s="172"/>
      <c r="U280" s="172"/>
      <c r="V280" s="229"/>
      <c r="W280" s="229"/>
    </row>
    <row r="281" hidden="1" outlineLevel="2">
      <c r="A281" s="238"/>
      <c r="B281" s="239"/>
      <c r="C281" s="240"/>
      <c r="D281" s="241"/>
      <c r="E281" s="242"/>
      <c r="F281" s="243" t="s">
        <v>222</v>
      </c>
      <c r="G281" s="244"/>
      <c r="H281" s="245"/>
      <c r="I281" s="245"/>
      <c r="J281" s="245"/>
      <c r="K281" s="246" t="s">
        <v>223</v>
      </c>
      <c r="L281" s="247"/>
      <c r="M281" s="248"/>
      <c r="N281" s="232"/>
      <c r="O281" s="22"/>
      <c r="P281" s="150"/>
      <c r="Q281" s="35"/>
      <c r="R281" s="36"/>
      <c r="S281" s="172"/>
      <c r="T281" s="172"/>
      <c r="U281" s="172"/>
      <c r="V281" s="229"/>
      <c r="W281" s="229"/>
    </row>
    <row r="282" hidden="1" outlineLevel="1" collapsed="1">
      <c r="A282" s="249"/>
      <c r="B282" s="250"/>
      <c r="C282" s="251"/>
      <c r="D282" s="252"/>
      <c r="E282" s="215" t="s">
        <v>300</v>
      </c>
      <c r="F282" s="216"/>
      <c r="G282" s="216"/>
      <c r="H282" s="216"/>
      <c r="I282" s="216"/>
      <c r="J282" s="216"/>
      <c r="K282" s="216"/>
      <c r="L282" s="216"/>
      <c r="M282" s="217"/>
      <c r="N282" s="253"/>
      <c r="O282" s="22"/>
      <c r="P282" s="150"/>
      <c r="Q282" s="35"/>
      <c r="R282" s="36"/>
      <c r="S282" s="150"/>
      <c r="T282" s="35"/>
      <c r="U282" s="36"/>
      <c r="V282" s="23"/>
      <c r="W282" s="23"/>
    </row>
    <row r="283" hidden="1" outlineLevel="2">
      <c r="A283" s="254"/>
      <c r="B283" s="250"/>
      <c r="C283" s="255"/>
      <c r="D283" s="256"/>
      <c r="E283" s="257" t="s">
        <v>225</v>
      </c>
      <c r="F283" s="190"/>
      <c r="G283" s="258" t="s">
        <v>226</v>
      </c>
      <c r="H283" s="258" t="s">
        <v>226</v>
      </c>
      <c r="I283" s="258" t="s">
        <v>227</v>
      </c>
      <c r="J283" s="258" t="s">
        <v>228</v>
      </c>
      <c r="K283" s="258" t="s">
        <v>229</v>
      </c>
      <c r="L283" s="258" t="s">
        <v>230</v>
      </c>
      <c r="M283" s="259" t="s">
        <v>231</v>
      </c>
      <c r="N283" s="260"/>
      <c r="O283" s="22"/>
      <c r="P283" s="150"/>
      <c r="Q283" s="35"/>
      <c r="R283" s="36"/>
      <c r="S283" s="172"/>
      <c r="T283" s="172"/>
      <c r="U283" s="172"/>
      <c r="V283" s="23"/>
      <c r="W283" s="23"/>
    </row>
    <row r="284" hidden="1" outlineLevel="2">
      <c r="A284" s="261"/>
      <c r="B284" s="255"/>
      <c r="C284" s="219"/>
      <c r="D284" s="12"/>
      <c r="E284" s="262" t="s">
        <v>207</v>
      </c>
      <c r="F284" s="196"/>
      <c r="G284" s="263" t="s">
        <v>232</v>
      </c>
      <c r="H284" s="263" t="s">
        <v>233</v>
      </c>
      <c r="I284" s="263" t="s">
        <v>234</v>
      </c>
      <c r="J284" s="263" t="s">
        <v>235</v>
      </c>
      <c r="K284" s="263" t="s">
        <v>236</v>
      </c>
      <c r="L284" s="263" t="s">
        <v>237</v>
      </c>
      <c r="M284" s="264" t="s">
        <v>237</v>
      </c>
      <c r="N284" s="260"/>
      <c r="O284" s="22"/>
      <c r="P284" s="150"/>
      <c r="Q284" s="35"/>
      <c r="R284" s="36"/>
      <c r="S284" s="172"/>
      <c r="T284" s="172"/>
      <c r="U284" s="172"/>
      <c r="V284" s="23"/>
      <c r="W284" s="23"/>
    </row>
    <row r="285" hidden="1" outlineLevel="2">
      <c r="A285" s="218"/>
      <c r="B285" s="218"/>
      <c r="C285" s="219"/>
      <c r="D285" s="12"/>
      <c r="E285" s="265"/>
      <c r="F285" s="36"/>
      <c r="G285" s="106"/>
      <c r="H285" s="266"/>
      <c r="I285" s="106"/>
      <c r="J285" s="106"/>
      <c r="K285" s="168"/>
      <c r="L285" s="106"/>
      <c r="M285" s="267"/>
      <c r="N285" s="260"/>
      <c r="O285" s="22"/>
      <c r="P285" s="268"/>
      <c r="Q285" s="35"/>
      <c r="R285" s="36"/>
      <c r="S285" s="150"/>
      <c r="T285" s="35"/>
      <c r="U285" s="36"/>
      <c r="V285" s="23"/>
      <c r="W285" s="23"/>
    </row>
    <row r="286" hidden="1" outlineLevel="2">
      <c r="A286" s="218"/>
      <c r="B286" s="218"/>
      <c r="C286" s="43"/>
      <c r="D286" s="12"/>
      <c r="E286" s="265"/>
      <c r="F286" s="36"/>
      <c r="G286" s="106"/>
      <c r="H286" s="266"/>
      <c r="I286" s="18"/>
      <c r="J286" s="18"/>
      <c r="K286" s="165"/>
      <c r="L286" s="18"/>
      <c r="M286" s="269"/>
      <c r="N286" s="260"/>
      <c r="O286" s="22"/>
      <c r="P286" s="268"/>
      <c r="Q286" s="35"/>
      <c r="R286" s="36"/>
      <c r="S286" s="150"/>
      <c r="T286" s="35"/>
      <c r="U286" s="36"/>
      <c r="V286" s="23"/>
      <c r="W286" s="23"/>
    </row>
    <row r="287" hidden="1" outlineLevel="2">
      <c r="A287" s="22"/>
      <c r="B287" s="22"/>
      <c r="C287" s="43"/>
      <c r="D287" s="12"/>
      <c r="E287" s="265"/>
      <c r="F287" s="36"/>
      <c r="G287" s="106"/>
      <c r="H287" s="266"/>
      <c r="I287" s="18"/>
      <c r="J287" s="18"/>
      <c r="K287" s="165"/>
      <c r="L287" s="18"/>
      <c r="M287" s="269"/>
      <c r="N287" s="260"/>
      <c r="O287" s="22"/>
      <c r="P287" s="150"/>
      <c r="Q287" s="35"/>
      <c r="R287" s="36"/>
      <c r="S287" s="150"/>
      <c r="T287" s="35"/>
      <c r="U287" s="36"/>
      <c r="V287" s="23"/>
      <c r="W287" s="23"/>
    </row>
    <row r="288" hidden="1" outlineLevel="2">
      <c r="A288" s="22"/>
      <c r="B288" s="22"/>
      <c r="C288" s="219"/>
      <c r="D288" s="12"/>
      <c r="E288" s="265"/>
      <c r="F288" s="36"/>
      <c r="G288" s="106"/>
      <c r="H288" s="270"/>
      <c r="I288" s="18"/>
      <c r="J288" s="18"/>
      <c r="K288" s="165"/>
      <c r="L288" s="18"/>
      <c r="M288" s="269"/>
      <c r="N288" s="260"/>
      <c r="O288" s="22"/>
      <c r="P288" s="150"/>
      <c r="Q288" s="35"/>
      <c r="R288" s="36"/>
      <c r="S288" s="150"/>
      <c r="T288" s="35"/>
      <c r="U288" s="36"/>
      <c r="V288" s="23"/>
      <c r="W288" s="23"/>
    </row>
    <row r="289" hidden="1" outlineLevel="2">
      <c r="A289" s="218"/>
      <c r="B289" s="218"/>
      <c r="C289" s="219"/>
      <c r="D289" s="12"/>
      <c r="E289" s="265"/>
      <c r="F289" s="36"/>
      <c r="G289" s="18"/>
      <c r="H289" s="270"/>
      <c r="I289" s="18"/>
      <c r="J289" s="18"/>
      <c r="K289" s="165"/>
      <c r="L289" s="18"/>
      <c r="M289" s="269"/>
      <c r="N289" s="260"/>
      <c r="O289" s="22"/>
      <c r="P289" s="150"/>
      <c r="Q289" s="35"/>
      <c r="R289" s="36"/>
      <c r="S289" s="150"/>
      <c r="T289" s="35"/>
      <c r="U289" s="36"/>
      <c r="V289" s="23"/>
      <c r="W289" s="23"/>
    </row>
    <row r="290" hidden="1" outlineLevel="2">
      <c r="A290" s="218"/>
      <c r="B290" s="218"/>
      <c r="C290" s="219"/>
      <c r="D290" s="12"/>
      <c r="E290" s="265"/>
      <c r="F290" s="36"/>
      <c r="G290" s="18"/>
      <c r="H290" s="270"/>
      <c r="I290" s="18"/>
      <c r="J290" s="18"/>
      <c r="K290" s="165"/>
      <c r="L290" s="18"/>
      <c r="M290" s="269"/>
      <c r="N290" s="260"/>
      <c r="O290" s="22"/>
      <c r="P290" s="150"/>
      <c r="Q290" s="35"/>
      <c r="R290" s="36"/>
      <c r="S290" s="150"/>
      <c r="T290" s="35"/>
      <c r="U290" s="36"/>
      <c r="V290" s="23"/>
      <c r="W290" s="23"/>
    </row>
    <row r="291" hidden="1" outlineLevel="2">
      <c r="A291" s="218"/>
      <c r="B291" s="218"/>
      <c r="C291" s="219"/>
      <c r="D291" s="12"/>
      <c r="E291" s="265"/>
      <c r="F291" s="36"/>
      <c r="G291" s="18"/>
      <c r="H291" s="270"/>
      <c r="I291" s="18"/>
      <c r="J291" s="18"/>
      <c r="K291" s="165"/>
      <c r="L291" s="18"/>
      <c r="M291" s="269"/>
      <c r="N291" s="260"/>
      <c r="O291" s="22"/>
      <c r="P291" s="150"/>
      <c r="Q291" s="35"/>
      <c r="R291" s="36"/>
      <c r="S291" s="150"/>
      <c r="T291" s="35"/>
      <c r="U291" s="36"/>
      <c r="V291" s="23"/>
      <c r="W291" s="23"/>
    </row>
    <row r="292" hidden="1" outlineLevel="2">
      <c r="A292" s="218"/>
      <c r="B292" s="218"/>
      <c r="C292" s="219"/>
      <c r="D292" s="271"/>
      <c r="E292" s="272"/>
      <c r="F292" s="273"/>
      <c r="G292" s="274"/>
      <c r="H292" s="275"/>
      <c r="I292" s="274"/>
      <c r="J292" s="274"/>
      <c r="K292" s="276"/>
      <c r="L292" s="274"/>
      <c r="M292" s="277"/>
      <c r="N292" s="260"/>
      <c r="O292" s="22"/>
      <c r="P292" s="150"/>
      <c r="Q292" s="35"/>
      <c r="R292" s="36"/>
      <c r="S292" s="150"/>
      <c r="T292" s="35"/>
      <c r="U292" s="36"/>
      <c r="V292" s="23"/>
      <c r="W292" s="23"/>
    </row>
    <row r="293" collapsed="1">
      <c r="A293" s="146" t="s">
        <v>301</v>
      </c>
      <c r="B293" s="146"/>
      <c r="C293" s="147"/>
      <c r="D293" s="278"/>
      <c r="E293" s="148" t="s">
        <v>239</v>
      </c>
      <c r="F293" s="35"/>
      <c r="G293" s="35"/>
      <c r="H293" s="35"/>
      <c r="I293" s="35"/>
      <c r="J293" s="35"/>
      <c r="K293" s="35"/>
      <c r="L293" s="35"/>
      <c r="M293" s="36"/>
      <c r="N293" s="278"/>
      <c r="O293" s="22"/>
      <c r="P293" s="150"/>
      <c r="Q293" s="35"/>
      <c r="R293" s="36"/>
      <c r="S293" s="150"/>
      <c r="T293" s="35"/>
      <c r="U293" s="36"/>
      <c r="V293" s="23"/>
      <c r="W293" s="23"/>
    </row>
    <row r="294" hidden="1" outlineLevel="1">
      <c r="A294" s="22"/>
      <c r="B294" s="22"/>
      <c r="C294" s="43"/>
      <c r="D294" s="278"/>
      <c r="E294" s="279" t="s">
        <v>302</v>
      </c>
      <c r="F294" s="35"/>
      <c r="G294" s="35"/>
      <c r="H294" s="35"/>
      <c r="I294" s="153"/>
      <c r="J294" s="280" t="s">
        <v>241</v>
      </c>
      <c r="K294" s="35"/>
      <c r="L294" s="36"/>
      <c r="M294" s="266"/>
      <c r="N294" s="281"/>
      <c r="O294" s="22"/>
      <c r="P294" s="150"/>
      <c r="Q294" s="35"/>
      <c r="R294" s="36"/>
      <c r="S294" s="150"/>
      <c r="T294" s="35"/>
      <c r="U294" s="36"/>
      <c r="V294" s="23"/>
      <c r="W294" s="23"/>
    </row>
    <row r="295" hidden="1" outlineLevel="1">
      <c r="A295" s="22"/>
      <c r="B295" s="22"/>
      <c r="C295" s="22"/>
      <c r="D295" s="281"/>
      <c r="E295" s="279" t="s">
        <v>303</v>
      </c>
      <c r="F295" s="35"/>
      <c r="G295" s="35"/>
      <c r="H295" s="35"/>
      <c r="I295" s="35"/>
      <c r="J295" s="282"/>
      <c r="K295" s="283" t="s">
        <v>243</v>
      </c>
      <c r="L295" s="36"/>
      <c r="M295" s="266"/>
      <c r="N295" s="22"/>
      <c r="O295" s="22"/>
      <c r="P295" s="150"/>
      <c r="Q295" s="35"/>
      <c r="R295" s="36"/>
      <c r="S295" s="150"/>
      <c r="T295" s="35"/>
      <c r="U295" s="36"/>
      <c r="V295" s="23"/>
      <c r="W295" s="23"/>
    </row>
    <row r="296" hidden="1" outlineLevel="1">
      <c r="A296" s="22"/>
      <c r="B296" s="22"/>
      <c r="C296" s="22"/>
      <c r="D296" s="22"/>
      <c r="E296" s="279" t="s">
        <v>304</v>
      </c>
      <c r="F296" s="35"/>
      <c r="G296" s="35"/>
      <c r="H296" s="35"/>
      <c r="I296" s="282"/>
      <c r="J296" s="283" t="s">
        <v>245</v>
      </c>
      <c r="K296" s="35"/>
      <c r="L296" s="36"/>
      <c r="M296" s="266"/>
      <c r="N296" s="22"/>
      <c r="O296" s="22"/>
      <c r="P296" s="150"/>
      <c r="Q296" s="35"/>
      <c r="R296" s="36"/>
      <c r="S296" s="150"/>
      <c r="T296" s="35"/>
      <c r="U296" s="36"/>
      <c r="V296" s="23"/>
      <c r="W296" s="23"/>
    </row>
    <row r="297" hidden="1" outlineLevel="1">
      <c r="A297" s="22"/>
      <c r="B297" s="22"/>
      <c r="C297" s="22"/>
      <c r="D297" s="22"/>
      <c r="E297" s="279" t="s">
        <v>305</v>
      </c>
      <c r="F297" s="284"/>
      <c r="G297" s="285"/>
      <c r="H297" s="286" t="s">
        <v>247</v>
      </c>
      <c r="I297" s="35"/>
      <c r="J297" s="153"/>
      <c r="K297" s="287" t="s">
        <v>306</v>
      </c>
      <c r="L297" s="36"/>
      <c r="M297" s="289"/>
      <c r="N297" s="22"/>
      <c r="O297" s="22"/>
      <c r="P297" s="268"/>
      <c r="Q297" s="35"/>
      <c r="R297" s="36"/>
      <c r="S297" s="150"/>
      <c r="T297" s="35"/>
      <c r="U297" s="36"/>
      <c r="V297" s="23"/>
      <c r="W297" s="23"/>
    </row>
    <row r="298" hidden="1" outlineLevel="1">
      <c r="A298" s="22"/>
      <c r="B298" s="22"/>
      <c r="C298" s="22"/>
      <c r="D298" s="22"/>
      <c r="E298" s="279" t="s">
        <v>307</v>
      </c>
      <c r="F298" s="35"/>
      <c r="G298" s="153"/>
      <c r="H298" s="286" t="s">
        <v>250</v>
      </c>
      <c r="I298" s="35"/>
      <c r="J298" s="153"/>
      <c r="K298" s="287" t="s">
        <v>308</v>
      </c>
      <c r="L298" s="36"/>
      <c r="M298" s="289"/>
      <c r="N298" s="22"/>
      <c r="O298" s="22"/>
      <c r="P298" s="268"/>
      <c r="Q298" s="35"/>
      <c r="R298" s="36"/>
      <c r="S298" s="150"/>
      <c r="T298" s="35"/>
      <c r="U298" s="36"/>
      <c r="V298" s="23"/>
      <c r="W298" s="23"/>
    </row>
    <row r="299" hidden="1" outlineLevel="1">
      <c r="A299" s="22"/>
      <c r="B299" s="22"/>
      <c r="C299" s="22"/>
      <c r="D299" s="22"/>
      <c r="E299" s="290" t="s">
        <v>252</v>
      </c>
      <c r="F299" s="10"/>
      <c r="G299" s="10"/>
      <c r="H299" s="10"/>
      <c r="I299" s="10"/>
      <c r="J299" s="10"/>
      <c r="K299" s="10"/>
      <c r="L299" s="10"/>
      <c r="M299" s="11"/>
      <c r="N299" s="22"/>
      <c r="O299" s="22"/>
      <c r="P299" s="150"/>
      <c r="Q299" s="35"/>
      <c r="R299" s="36"/>
      <c r="S299" s="150"/>
      <c r="T299" s="35"/>
      <c r="U299" s="36"/>
      <c r="V299" s="23"/>
      <c r="W299" s="23"/>
    </row>
    <row r="300" hidden="1" outlineLevel="1">
      <c r="A300" s="22"/>
      <c r="B300" s="22"/>
      <c r="C300" s="22"/>
      <c r="D300" s="22"/>
      <c r="E300" s="291" t="s">
        <v>309</v>
      </c>
      <c r="F300" s="292"/>
      <c r="G300" s="292"/>
      <c r="H300" s="292"/>
      <c r="I300" s="286" t="s">
        <v>254</v>
      </c>
      <c r="J300" s="35"/>
      <c r="K300" s="35"/>
      <c r="L300" s="36"/>
      <c r="M300" s="106"/>
      <c r="N300" s="22"/>
      <c r="O300" s="22"/>
      <c r="P300" s="268"/>
      <c r="Q300" s="35"/>
      <c r="R300" s="36"/>
      <c r="S300" s="150"/>
      <c r="T300" s="35"/>
      <c r="U300" s="36"/>
      <c r="V300" s="23"/>
      <c r="W300" s="23"/>
    </row>
    <row r="301" hidden="1" outlineLevel="1">
      <c r="A301" s="22"/>
      <c r="B301" s="22"/>
      <c r="C301" s="22"/>
      <c r="D301" s="22"/>
      <c r="E301" s="293" t="s">
        <v>255</v>
      </c>
      <c r="F301" s="35"/>
      <c r="G301" s="35"/>
      <c r="H301" s="35"/>
      <c r="I301" s="35"/>
      <c r="J301" s="35"/>
      <c r="K301" s="35"/>
      <c r="L301" s="36"/>
      <c r="M301" s="266"/>
      <c r="N301" s="22"/>
      <c r="O301" s="22"/>
      <c r="P301" s="150"/>
      <c r="Q301" s="35"/>
      <c r="R301" s="36"/>
      <c r="S301" s="150"/>
      <c r="T301" s="35"/>
      <c r="U301" s="36"/>
      <c r="V301" s="23"/>
      <c r="W301" s="23"/>
    </row>
    <row r="302" hidden="1" outlineLevel="1">
      <c r="A302" s="22"/>
      <c r="B302" s="22"/>
      <c r="C302" s="22"/>
      <c r="D302" s="22"/>
      <c r="E302" s="294" t="s">
        <v>256</v>
      </c>
      <c r="F302" s="35"/>
      <c r="G302" s="35"/>
      <c r="H302" s="35"/>
      <c r="I302" s="35"/>
      <c r="J302" s="35"/>
      <c r="K302" s="35"/>
      <c r="L302" s="35"/>
      <c r="M302" s="36"/>
      <c r="N302" s="22"/>
      <c r="O302" s="22"/>
      <c r="P302" s="150"/>
      <c r="Q302" s="35"/>
      <c r="R302" s="36"/>
      <c r="S302" s="150"/>
      <c r="T302" s="35"/>
      <c r="U302" s="36"/>
      <c r="V302" s="23"/>
      <c r="W302" s="23"/>
    </row>
    <row r="303" hidden="1" outlineLevel="1">
      <c r="A303" s="22"/>
      <c r="B303" s="22"/>
      <c r="C303" s="22"/>
      <c r="D303" s="22"/>
      <c r="E303" s="295"/>
      <c r="F303" s="10"/>
      <c r="G303" s="10"/>
      <c r="H303" s="10"/>
      <c r="I303" s="10"/>
      <c r="J303" s="10"/>
      <c r="K303" s="10"/>
      <c r="L303" s="10"/>
      <c r="M303" s="11"/>
      <c r="N303" s="22"/>
      <c r="O303" s="22"/>
      <c r="P303" s="150"/>
      <c r="Q303" s="35"/>
      <c r="R303" s="36"/>
      <c r="S303" s="150"/>
      <c r="T303" s="35"/>
      <c r="U303" s="36"/>
      <c r="V303" s="23"/>
      <c r="W303" s="23"/>
    </row>
    <row r="304" hidden="1" outlineLevel="1">
      <c r="A304" s="22"/>
      <c r="B304" s="22"/>
      <c r="C304" s="22"/>
      <c r="D304" s="22"/>
      <c r="E304" s="14"/>
      <c r="F304" s="15"/>
      <c r="G304" s="15"/>
      <c r="H304" s="15"/>
      <c r="I304" s="15"/>
      <c r="J304" s="15"/>
      <c r="K304" s="15"/>
      <c r="L304" s="15"/>
      <c r="M304" s="16"/>
      <c r="N304" s="22"/>
      <c r="O304" s="22"/>
      <c r="P304" s="150"/>
      <c r="Q304" s="35"/>
      <c r="R304" s="36"/>
      <c r="S304" s="150"/>
      <c r="T304" s="35"/>
      <c r="U304" s="36"/>
      <c r="V304" s="23"/>
      <c r="W304" s="23"/>
    </row>
    <row r="305" hidden="1" outlineLevel="1">
      <c r="A305" s="22"/>
      <c r="B305" s="22"/>
      <c r="C305" s="22"/>
      <c r="D305" s="22"/>
      <c r="E305" s="291" t="s">
        <v>310</v>
      </c>
      <c r="F305" s="292"/>
      <c r="G305" s="296"/>
      <c r="H305" s="280" t="s">
        <v>258</v>
      </c>
      <c r="I305" s="35"/>
      <c r="J305" s="35"/>
      <c r="K305" s="35"/>
      <c r="L305" s="35"/>
      <c r="M305" s="106"/>
      <c r="N305" s="22"/>
      <c r="O305" s="22"/>
      <c r="P305" s="150"/>
      <c r="Q305" s="35"/>
      <c r="R305" s="36"/>
      <c r="S305" s="150"/>
      <c r="T305" s="35"/>
      <c r="U305" s="36"/>
      <c r="V305" s="23"/>
      <c r="W305" s="23"/>
    </row>
    <row r="306" hidden="1" outlineLevel="1">
      <c r="A306" s="22"/>
      <c r="B306" s="22"/>
      <c r="C306" s="22"/>
      <c r="D306" s="22"/>
      <c r="E306" s="291" t="s">
        <v>311</v>
      </c>
      <c r="F306" s="296"/>
      <c r="G306" s="280" t="s">
        <v>260</v>
      </c>
      <c r="H306" s="35"/>
      <c r="I306" s="35"/>
      <c r="J306" s="35"/>
      <c r="K306" s="35"/>
      <c r="L306" s="35"/>
      <c r="M306" s="106"/>
      <c r="N306" s="22"/>
      <c r="O306" s="22"/>
      <c r="P306" s="150"/>
      <c r="Q306" s="35"/>
      <c r="R306" s="36"/>
      <c r="S306" s="150"/>
      <c r="T306" s="35"/>
      <c r="U306" s="36"/>
      <c r="V306" s="23"/>
      <c r="W306" s="23"/>
    </row>
    <row r="307" hidden="1" outlineLevel="1">
      <c r="A307" s="297"/>
      <c r="B307" s="297"/>
      <c r="C307" s="43"/>
      <c r="D307" s="43"/>
      <c r="E307" s="298" t="s">
        <v>261</v>
      </c>
      <c r="F307" s="35"/>
      <c r="G307" s="35"/>
      <c r="H307" s="35"/>
      <c r="I307" s="35"/>
      <c r="J307" s="35"/>
      <c r="K307" s="35"/>
      <c r="L307" s="35"/>
      <c r="M307" s="36"/>
      <c r="N307" s="297"/>
      <c r="O307" s="297"/>
      <c r="P307" s="46"/>
      <c r="Q307" s="35"/>
      <c r="R307" s="36"/>
      <c r="S307" s="46"/>
      <c r="T307" s="35"/>
      <c r="U307" s="36"/>
      <c r="V307" s="299"/>
      <c r="W307" s="299"/>
    </row>
    <row r="308" hidden="1" outlineLevel="1">
      <c r="A308" s="297"/>
      <c r="B308" s="297"/>
      <c r="C308" s="43"/>
      <c r="D308" s="43"/>
      <c r="E308" s="298" t="s">
        <v>262</v>
      </c>
      <c r="F308" s="35"/>
      <c r="G308" s="35"/>
      <c r="H308" s="35"/>
      <c r="I308" s="35"/>
      <c r="J308" s="35"/>
      <c r="K308" s="35"/>
      <c r="L308" s="35"/>
      <c r="M308" s="36"/>
      <c r="N308" s="297"/>
      <c r="O308" s="297"/>
      <c r="P308" s="46"/>
      <c r="Q308" s="35"/>
      <c r="R308" s="36"/>
      <c r="S308" s="46"/>
      <c r="T308" s="35"/>
      <c r="U308" s="36"/>
      <c r="V308" s="299"/>
      <c r="W308" s="299"/>
    </row>
    <row r="309">
      <c r="A309" s="306"/>
      <c r="B309" s="297"/>
      <c r="C309" s="297"/>
      <c r="D309" s="297"/>
      <c r="E309" s="297"/>
      <c r="F309" s="297"/>
      <c r="G309" s="297"/>
      <c r="H309" s="297"/>
      <c r="I309" s="297"/>
      <c r="J309" s="297"/>
      <c r="K309" s="297"/>
      <c r="L309" s="297"/>
      <c r="M309" s="297"/>
      <c r="N309" s="297"/>
      <c r="O309" s="297"/>
      <c r="P309" s="297"/>
      <c r="Q309" s="297"/>
      <c r="R309" s="297"/>
      <c r="S309" s="297"/>
      <c r="T309" s="297"/>
      <c r="U309" s="297"/>
      <c r="V309" s="297"/>
      <c r="W309" s="299"/>
    </row>
    <row r="310">
      <c r="A310" s="301"/>
      <c r="B310" s="301"/>
      <c r="C310" s="301"/>
      <c r="D310" s="301"/>
      <c r="E310" s="301"/>
      <c r="F310" s="301"/>
      <c r="G310" s="301"/>
      <c r="H310" s="301"/>
      <c r="I310" s="301"/>
      <c r="J310" s="301"/>
      <c r="K310" s="301"/>
      <c r="L310" s="301"/>
      <c r="M310" s="301"/>
      <c r="N310" s="301"/>
      <c r="O310" s="301"/>
      <c r="P310" s="301"/>
      <c r="Q310" s="301"/>
      <c r="R310" s="301"/>
      <c r="S310" s="301"/>
      <c r="T310" s="301"/>
      <c r="U310" s="301"/>
      <c r="V310" s="301"/>
      <c r="W310" s="301"/>
    </row>
    <row r="311">
      <c r="A311" s="307"/>
      <c r="B311" s="307"/>
      <c r="C311" s="307"/>
      <c r="D311" s="307"/>
      <c r="E311" s="307"/>
      <c r="F311" s="307"/>
      <c r="G311" s="307"/>
      <c r="H311" s="307"/>
      <c r="I311" s="307"/>
      <c r="J311" s="307"/>
      <c r="K311" s="307"/>
      <c r="L311" s="307"/>
      <c r="M311" s="307"/>
      <c r="N311" s="307"/>
      <c r="O311" s="307"/>
      <c r="P311" s="307"/>
      <c r="Q311" s="307"/>
      <c r="R311" s="307"/>
      <c r="S311" s="307"/>
      <c r="T311" s="307"/>
      <c r="U311" s="308"/>
      <c r="V311" s="308"/>
      <c r="W311" s="308"/>
    </row>
    <row r="312">
      <c r="A312" s="22"/>
      <c r="B312" s="22"/>
      <c r="C312" s="22"/>
      <c r="D312" s="22"/>
      <c r="E312" s="22"/>
      <c r="F312" s="22"/>
      <c r="G312" s="22"/>
      <c r="H312" s="22"/>
      <c r="I312" s="22"/>
      <c r="J312" s="22"/>
      <c r="K312" s="22"/>
      <c r="L312" s="22"/>
      <c r="M312" s="22"/>
      <c r="N312" s="22"/>
      <c r="O312" s="22"/>
      <c r="P312" s="22"/>
      <c r="Q312" s="22"/>
      <c r="R312" s="22"/>
      <c r="S312" s="22"/>
      <c r="T312" s="22"/>
      <c r="U312" s="23"/>
      <c r="V312" s="23"/>
      <c r="W312" s="23"/>
    </row>
    <row r="313">
      <c r="A313" s="22"/>
      <c r="B313" s="22"/>
      <c r="C313" s="22"/>
      <c r="D313" s="22"/>
      <c r="E313" s="26" t="s">
        <v>312</v>
      </c>
      <c r="F313" s="22"/>
      <c r="G313" s="22"/>
      <c r="H313" s="22"/>
      <c r="I313" s="22"/>
      <c r="J313" s="22"/>
      <c r="K313" s="22"/>
      <c r="L313" s="22"/>
      <c r="M313" s="22"/>
      <c r="N313" s="22"/>
      <c r="O313" s="22"/>
      <c r="P313" s="22"/>
      <c r="Q313" s="22"/>
      <c r="R313" s="22"/>
      <c r="S313" s="22"/>
      <c r="T313" s="22"/>
      <c r="U313" s="23"/>
      <c r="V313" s="23"/>
      <c r="W313" s="23"/>
    </row>
    <row r="314">
      <c r="A314" s="22"/>
      <c r="B314" s="22"/>
      <c r="C314" s="22"/>
      <c r="D314" s="22"/>
      <c r="E314" s="26" t="s">
        <v>264</v>
      </c>
      <c r="F314" s="22"/>
      <c r="G314" s="22"/>
      <c r="H314" s="22"/>
      <c r="I314" s="22"/>
      <c r="J314" s="22"/>
      <c r="K314" s="22"/>
      <c r="L314" s="22"/>
      <c r="M314" s="22"/>
      <c r="N314" s="22"/>
      <c r="O314" s="22"/>
      <c r="P314" s="22"/>
      <c r="Q314" s="22"/>
      <c r="R314" s="22"/>
      <c r="S314" s="22"/>
      <c r="T314" s="22"/>
      <c r="U314" s="23"/>
      <c r="V314" s="23"/>
      <c r="W314" s="23"/>
    </row>
    <row r="315">
      <c r="A315" s="22"/>
      <c r="B315" s="22"/>
      <c r="C315" s="22"/>
      <c r="D315" s="22"/>
      <c r="E315" s="22"/>
      <c r="F315" s="22"/>
      <c r="G315" s="22"/>
      <c r="H315" s="22"/>
      <c r="I315" s="22"/>
      <c r="J315" s="22"/>
      <c r="K315" s="22"/>
      <c r="L315" s="22"/>
      <c r="M315" s="22"/>
      <c r="N315" s="22"/>
      <c r="O315" s="22"/>
      <c r="P315" s="22"/>
      <c r="Q315" s="22"/>
      <c r="R315" s="22"/>
      <c r="S315" s="22"/>
      <c r="T315" s="22"/>
      <c r="U315" s="23"/>
      <c r="V315" s="23"/>
      <c r="W315" s="23"/>
    </row>
    <row r="316">
      <c r="A316" s="22"/>
      <c r="B316" s="22"/>
      <c r="C316" s="22"/>
      <c r="D316" s="22"/>
      <c r="E316" s="22"/>
      <c r="F316" s="22"/>
      <c r="G316" s="22"/>
      <c r="H316" s="22"/>
      <c r="I316" s="22"/>
      <c r="J316" s="22"/>
      <c r="K316" s="22"/>
      <c r="L316" s="22"/>
      <c r="M316" s="22"/>
      <c r="N316" s="22"/>
      <c r="O316" s="22"/>
      <c r="P316" s="22"/>
      <c r="Q316" s="22"/>
      <c r="R316" s="22"/>
      <c r="S316" s="22"/>
      <c r="T316" s="22"/>
      <c r="U316" s="23"/>
      <c r="V316" s="23"/>
      <c r="W316" s="23"/>
    </row>
    <row r="317">
      <c r="A317" s="22"/>
      <c r="B317" s="22"/>
      <c r="C317" s="22"/>
      <c r="D317" s="22"/>
      <c r="E317" s="144" t="s">
        <v>313</v>
      </c>
      <c r="F317" s="10"/>
      <c r="G317" s="10"/>
      <c r="H317" s="10"/>
      <c r="I317" s="11"/>
      <c r="J317" s="22"/>
      <c r="K317" s="22"/>
      <c r="L317" s="22"/>
      <c r="M317" s="22"/>
      <c r="N317" s="22"/>
      <c r="O317" s="22"/>
      <c r="P317" s="22"/>
      <c r="Q317" s="22"/>
      <c r="R317" s="22"/>
      <c r="S317" s="22"/>
      <c r="T317" s="22"/>
      <c r="U317" s="23"/>
      <c r="V317" s="23"/>
      <c r="W317" s="23"/>
    </row>
    <row r="318" ht="18.75" customHeight="1">
      <c r="A318" s="22"/>
      <c r="B318" s="22"/>
      <c r="C318" s="22"/>
      <c r="D318" s="22"/>
      <c r="E318" s="14"/>
      <c r="F318" s="15"/>
      <c r="G318" s="15"/>
      <c r="H318" s="15"/>
      <c r="I318" s="16"/>
      <c r="J318" s="22"/>
      <c r="K318" s="22"/>
      <c r="L318" s="22"/>
      <c r="M318" s="22"/>
      <c r="N318" s="22"/>
      <c r="O318" s="22"/>
      <c r="P318" s="22"/>
      <c r="Q318" s="22"/>
      <c r="R318" s="22"/>
      <c r="S318" s="22"/>
      <c r="T318" s="22"/>
      <c r="U318" s="23"/>
      <c r="V318" s="23"/>
      <c r="W318" s="23"/>
    </row>
    <row r="319">
      <c r="A319" s="22"/>
      <c r="B319" s="22"/>
      <c r="C319" s="22"/>
      <c r="D319" s="22"/>
      <c r="E319" s="22"/>
      <c r="F319" s="22"/>
      <c r="G319" s="22"/>
      <c r="H319" s="22"/>
      <c r="I319" s="22"/>
      <c r="J319" s="22"/>
      <c r="K319" s="22"/>
      <c r="L319" s="22"/>
      <c r="M319" s="22"/>
      <c r="N319" s="22"/>
      <c r="O319" s="22"/>
      <c r="P319" s="145" t="s">
        <v>161</v>
      </c>
      <c r="Q319" s="35"/>
      <c r="R319" s="36"/>
      <c r="S319" s="145" t="s">
        <v>162</v>
      </c>
      <c r="T319" s="35"/>
      <c r="U319" s="36"/>
      <c r="W319" s="23"/>
    </row>
    <row r="320" collapsed="1">
      <c r="A320" s="146" t="s">
        <v>314</v>
      </c>
      <c r="B320" s="146"/>
      <c r="C320" s="147"/>
      <c r="D320" s="278"/>
      <c r="E320" s="148" t="s">
        <v>164</v>
      </c>
      <c r="F320" s="35"/>
      <c r="G320" s="35"/>
      <c r="H320" s="36"/>
      <c r="I320" s="302"/>
      <c r="J320" s="35"/>
      <c r="K320" s="35"/>
      <c r="L320" s="35"/>
      <c r="M320" s="36"/>
      <c r="N320" s="22"/>
      <c r="O320" s="22"/>
      <c r="P320" s="150"/>
      <c r="Q320" s="35"/>
      <c r="R320" s="36"/>
      <c r="S320" s="150"/>
      <c r="T320" s="35"/>
      <c r="U320" s="36"/>
      <c r="V320" s="23"/>
      <c r="W320" s="151"/>
    </row>
    <row r="321" hidden="1" outlineLevel="1">
      <c r="A321" s="22"/>
      <c r="B321" s="22"/>
      <c r="C321" s="22"/>
      <c r="D321" s="22"/>
      <c r="E321" s="152" t="s">
        <v>165</v>
      </c>
      <c r="F321" s="35"/>
      <c r="G321" s="35"/>
      <c r="H321" s="35"/>
      <c r="I321" s="153"/>
      <c r="J321" s="154" t="s">
        <v>166</v>
      </c>
      <c r="K321" s="36"/>
      <c r="L321" s="155"/>
      <c r="M321" s="36"/>
      <c r="N321" s="22"/>
      <c r="O321" s="22"/>
      <c r="P321" s="150"/>
      <c r="Q321" s="35"/>
      <c r="R321" s="36"/>
      <c r="S321" s="150"/>
      <c r="T321" s="35"/>
      <c r="U321" s="36"/>
      <c r="V321" s="23"/>
      <c r="W321" s="23"/>
    </row>
    <row r="322" hidden="1" outlineLevel="1">
      <c r="A322" s="45"/>
      <c r="B322" s="43"/>
      <c r="C322" s="43"/>
      <c r="D322" s="43"/>
      <c r="E322" s="303" t="s">
        <v>315</v>
      </c>
      <c r="F322" s="157"/>
      <c r="G322" s="157"/>
      <c r="H322" s="157"/>
      <c r="I322" s="157"/>
      <c r="J322" s="157"/>
      <c r="K322" s="157"/>
      <c r="L322" s="157"/>
      <c r="M322" s="158"/>
      <c r="N322" s="43"/>
      <c r="O322" s="43"/>
      <c r="P322" s="150"/>
      <c r="Q322" s="35"/>
      <c r="R322" s="36"/>
      <c r="S322" s="150"/>
      <c r="T322" s="35"/>
      <c r="U322" s="36"/>
      <c r="V322" s="23"/>
      <c r="W322" s="23"/>
    </row>
    <row r="323" collapsed="1">
      <c r="A323" s="146" t="s">
        <v>316</v>
      </c>
      <c r="B323" s="146"/>
      <c r="C323" s="147"/>
      <c r="D323" s="278"/>
      <c r="E323" s="148" t="s">
        <v>169</v>
      </c>
      <c r="F323" s="35"/>
      <c r="G323" s="35"/>
      <c r="H323" s="35"/>
      <c r="I323" s="35"/>
      <c r="J323" s="35"/>
      <c r="K323" s="35"/>
      <c r="L323" s="159" t="s">
        <v>170</v>
      </c>
      <c r="M323" s="160" t="s">
        <v>171</v>
      </c>
      <c r="N323" s="22"/>
      <c r="O323" s="22"/>
      <c r="P323" s="161"/>
      <c r="Q323" s="35"/>
      <c r="R323" s="36"/>
      <c r="S323" s="150"/>
      <c r="T323" s="35"/>
      <c r="U323" s="36"/>
      <c r="V323" s="23"/>
      <c r="W323" s="23"/>
    </row>
    <row r="324" hidden="1" outlineLevel="1">
      <c r="A324" s="22"/>
      <c r="B324" s="22"/>
      <c r="C324" s="22"/>
      <c r="D324" s="22"/>
      <c r="E324" s="162" t="s">
        <v>172</v>
      </c>
      <c r="F324" s="128"/>
      <c r="G324" s="128"/>
      <c r="H324" s="128"/>
      <c r="I324" s="128"/>
      <c r="J324" s="128"/>
      <c r="K324" s="163"/>
      <c r="L324" s="164" t="str">
        <f>IF(OR(L321="Federal Mobility Budget", L321="Commute", L321="professional travel"), "Yes", IF(L321="EV Charging &amp; Fuel", "No", ""))</f>
        <v/>
      </c>
      <c r="M324" s="165" t="str">
        <f>L324</f>
        <v/>
      </c>
      <c r="N324" s="22"/>
      <c r="O324" s="22"/>
      <c r="P324" s="161"/>
      <c r="Q324" s="35"/>
      <c r="R324" s="36"/>
      <c r="S324" s="150"/>
      <c r="T324" s="35"/>
      <c r="U324" s="36"/>
      <c r="V324" s="23"/>
      <c r="W324" s="23"/>
    </row>
    <row r="325" hidden="1" outlineLevel="1">
      <c r="A325" s="22"/>
      <c r="B325" s="22"/>
      <c r="C325" s="22"/>
      <c r="D325" s="22"/>
      <c r="E325" s="152" t="s">
        <v>173</v>
      </c>
      <c r="F325" s="131"/>
      <c r="G325" s="131"/>
      <c r="H325" s="131"/>
      <c r="I325" s="131"/>
      <c r="J325" s="131"/>
      <c r="K325" s="166"/>
      <c r="L325" s="167" t="str">
        <f>IF(L321="Commute","Often",IF(L321="Federal Mobility Budget","Often",IF(OR(L321="Professional Travel",L321="EV Charging &amp; Fuel"),"No",L321)))</f>
        <v/>
      </c>
      <c r="M325" s="165"/>
      <c r="N325" s="22"/>
      <c r="O325" s="22"/>
      <c r="P325" s="169"/>
      <c r="Q325" s="35"/>
      <c r="R325" s="36"/>
      <c r="S325" s="150"/>
      <c r="T325" s="35"/>
      <c r="U325" s="36"/>
      <c r="V325" s="23"/>
      <c r="W325" s="23"/>
    </row>
    <row r="326" hidden="1" outlineLevel="1">
      <c r="A326" s="22"/>
      <c r="B326" s="22"/>
      <c r="C326" s="22"/>
      <c r="D326" s="22"/>
      <c r="E326" s="162" t="s">
        <v>174</v>
      </c>
      <c r="F326" s="128"/>
      <c r="G326" s="128"/>
      <c r="H326" s="128"/>
      <c r="I326" s="128"/>
      <c r="J326" s="128"/>
      <c r="K326" s="163"/>
      <c r="L326" s="170" t="str">
        <f>IF(OR(L321="Federal Mobility Budget"), "Yes", IF(OR(L321="professional travel", L321="EV Charging &amp; Fuel", L321="Commute"), "No", ""))</f>
        <v/>
      </c>
      <c r="M326" s="165" t="str">
        <f>L326</f>
        <v/>
      </c>
      <c r="N326" s="22"/>
      <c r="O326" s="22"/>
      <c r="P326" s="161"/>
      <c r="Q326" s="35"/>
      <c r="R326" s="36"/>
      <c r="S326" s="150"/>
      <c r="T326" s="35"/>
      <c r="U326" s="36"/>
      <c r="V326" s="23"/>
      <c r="W326" s="23"/>
    </row>
    <row r="327" hidden="1" outlineLevel="1">
      <c r="A327" s="22"/>
      <c r="B327" s="22"/>
      <c r="C327" s="22"/>
      <c r="D327" s="22"/>
      <c r="E327" s="152" t="s">
        <v>175</v>
      </c>
      <c r="F327" s="131"/>
      <c r="G327" s="131"/>
      <c r="H327" s="131"/>
      <c r="I327" s="131"/>
      <c r="J327" s="131"/>
      <c r="K327" s="166"/>
      <c r="L327" s="171" t="str">
        <f>IF(L321="Commute","Often",IF(L321="Federal Mobility Budget","Yes",IF(OR(L321="EV Charging &amp; Fuel",L321="professional travel"),"No","")))
</f>
        <v/>
      </c>
      <c r="M327" s="165"/>
      <c r="N327" s="22"/>
      <c r="O327" s="22"/>
      <c r="P327" s="169"/>
      <c r="Q327" s="35"/>
      <c r="R327" s="36"/>
      <c r="S327" s="150"/>
      <c r="T327" s="35"/>
      <c r="U327" s="36"/>
      <c r="V327" s="23"/>
      <c r="W327" s="23"/>
    </row>
    <row r="328" hidden="1" outlineLevel="1">
      <c r="A328" s="22"/>
      <c r="B328" s="22"/>
      <c r="C328" s="22"/>
      <c r="D328" s="22"/>
      <c r="E328" s="162" t="s">
        <v>176</v>
      </c>
      <c r="F328" s="128"/>
      <c r="G328" s="128"/>
      <c r="H328" s="128"/>
      <c r="I328" s="128"/>
      <c r="J328" s="128"/>
      <c r="K328" s="163"/>
      <c r="L328" s="170" t="str">
        <f>IF(OR(L321="Federal Mobility Budget"), "Yes", IF(OR(L321="professional travel", L321="EV Charging &amp; Fuel", L321="Commute"), "No", ""))</f>
        <v/>
      </c>
      <c r="M328" s="165" t="str">
        <f>L328</f>
        <v/>
      </c>
      <c r="N328" s="22"/>
      <c r="O328" s="22"/>
      <c r="P328" s="161"/>
      <c r="Q328" s="35"/>
      <c r="R328" s="36"/>
      <c r="S328" s="150"/>
      <c r="T328" s="35"/>
      <c r="U328" s="36"/>
      <c r="V328" s="23"/>
      <c r="W328" s="23"/>
    </row>
    <row r="329" hidden="1" outlineLevel="1">
      <c r="A329" s="22"/>
      <c r="B329" s="22"/>
      <c r="C329" s="22"/>
      <c r="D329" s="22"/>
      <c r="E329" s="152" t="s">
        <v>177</v>
      </c>
      <c r="F329" s="131"/>
      <c r="G329" s="131"/>
      <c r="H329" s="131"/>
      <c r="I329" s="131"/>
      <c r="J329" s="131"/>
      <c r="K329" s="166"/>
      <c r="L329" s="171" t="str">
        <f>IF(OR(L321="Federal Mobility Budget"), "Often", IF(OR(L321="professional travel", L321="EV Charging &amp; Fuel", L321="Commute"), "No", ""))</f>
        <v/>
      </c>
      <c r="M329" s="165"/>
      <c r="N329" s="22"/>
      <c r="O329" s="22"/>
      <c r="P329" s="169"/>
      <c r="Q329" s="35"/>
      <c r="R329" s="36"/>
      <c r="S329" s="150"/>
      <c r="T329" s="35"/>
      <c r="U329" s="36"/>
      <c r="V329" s="23"/>
      <c r="W329" s="23"/>
    </row>
    <row r="330" hidden="1" outlineLevel="1">
      <c r="A330" s="22"/>
      <c r="B330" s="22"/>
      <c r="C330" s="22"/>
      <c r="D330" s="22"/>
      <c r="E330" s="162" t="s">
        <v>178</v>
      </c>
      <c r="F330" s="128"/>
      <c r="G330" s="128"/>
      <c r="H330" s="128"/>
      <c r="I330" s="128"/>
      <c r="J330" s="128"/>
      <c r="K330" s="163"/>
      <c r="L330" s="170" t="str">
        <f>IF(OR(L321="Federal Mobility Budget"), "Yes", IF(OR(L321="professional travel", L321="EV Charging &amp; Fuel", L321="Commute"), "No", ""))</f>
        <v/>
      </c>
      <c r="M330" s="165" t="str">
        <f t="shared" ref="M330:M342" si="16">L330</f>
        <v/>
      </c>
      <c r="N330" s="22"/>
      <c r="O330" s="22"/>
      <c r="P330" s="161"/>
      <c r="Q330" s="35"/>
      <c r="R330" s="36"/>
      <c r="S330" s="150"/>
      <c r="T330" s="35"/>
      <c r="U330" s="36"/>
      <c r="V330" s="23"/>
      <c r="W330" s="23"/>
    </row>
    <row r="331" hidden="1" outlineLevel="1">
      <c r="A331" s="22"/>
      <c r="B331" s="22"/>
      <c r="C331" s="22"/>
      <c r="D331" s="22"/>
      <c r="E331" s="152" t="s">
        <v>179</v>
      </c>
      <c r="F331" s="131"/>
      <c r="G331" s="131"/>
      <c r="H331" s="131"/>
      <c r="I331" s="131"/>
      <c r="J331" s="131"/>
      <c r="K331" s="166"/>
      <c r="L331" s="171" t="str">
        <f>IF(OR(L321="Federal Mobility Budget", L321="professional travel"), "Yes", IF(OR(L321="EV Charging &amp; Fuel", L321="Commute"), "No", ""))</f>
        <v/>
      </c>
      <c r="M331" s="165" t="str">
        <f t="shared" si="16"/>
        <v/>
      </c>
      <c r="N331" s="22"/>
      <c r="O331" s="22"/>
      <c r="P331" s="161"/>
      <c r="Q331" s="35"/>
      <c r="R331" s="36"/>
      <c r="S331" s="150"/>
      <c r="T331" s="35"/>
      <c r="U331" s="36"/>
      <c r="V331" s="23"/>
      <c r="W331" s="23"/>
    </row>
    <row r="332" hidden="1" outlineLevel="1">
      <c r="A332" s="22"/>
      <c r="B332" s="22"/>
      <c r="C332" s="22"/>
      <c r="D332" s="22"/>
      <c r="E332" s="162" t="s">
        <v>180</v>
      </c>
      <c r="F332" s="128"/>
      <c r="G332" s="128"/>
      <c r="H332" s="128"/>
      <c r="I332" s="128"/>
      <c r="J332" s="128"/>
      <c r="K332" s="163"/>
      <c r="L332" s="170" t="str">
        <f>IF(OR(L321="Federal Mobility Budget"), "Yes", IF(OR(L321="professional travel", L321="EV Charging &amp; Fuel", L321="Commute"), "No", ""))</f>
        <v/>
      </c>
      <c r="M332" s="165" t="str">
        <f t="shared" si="16"/>
        <v/>
      </c>
      <c r="N332" s="22"/>
      <c r="O332" s="22"/>
      <c r="P332" s="161"/>
      <c r="Q332" s="35"/>
      <c r="R332" s="36"/>
      <c r="S332" s="150"/>
      <c r="T332" s="35"/>
      <c r="U332" s="36"/>
      <c r="V332" s="23"/>
      <c r="W332" s="23"/>
    </row>
    <row r="333" hidden="1" outlineLevel="1">
      <c r="A333" s="22"/>
      <c r="B333" s="22"/>
      <c r="C333" s="22"/>
      <c r="D333" s="22"/>
      <c r="E333" s="152" t="s">
        <v>181</v>
      </c>
      <c r="F333" s="131"/>
      <c r="G333" s="131"/>
      <c r="H333" s="131"/>
      <c r="I333" s="131"/>
      <c r="J333" s="131"/>
      <c r="K333" s="166"/>
      <c r="L333" s="171" t="str">
        <f>IF(OR(L321="Federal Mobility Budget", L321="Commute", L321="professional travel"), "Yes", IF(L321="EV Charging &amp; Fuel", "No", ""))</f>
        <v/>
      </c>
      <c r="M333" s="165" t="str">
        <f t="shared" si="16"/>
        <v/>
      </c>
      <c r="N333" s="22"/>
      <c r="O333" s="22"/>
      <c r="P333" s="161"/>
      <c r="Q333" s="35"/>
      <c r="R333" s="36"/>
      <c r="S333" s="150"/>
      <c r="T333" s="35"/>
      <c r="U333" s="36"/>
      <c r="V333" s="23"/>
      <c r="W333" s="23"/>
    </row>
    <row r="334" hidden="1" outlineLevel="1">
      <c r="A334" s="22"/>
      <c r="B334" s="22"/>
      <c r="C334" s="22"/>
      <c r="D334" s="22"/>
      <c r="E334" s="162" t="s">
        <v>182</v>
      </c>
      <c r="F334" s="128"/>
      <c r="G334" s="128"/>
      <c r="H334" s="128"/>
      <c r="I334" s="128"/>
      <c r="J334" s="128"/>
      <c r="K334" s="163"/>
      <c r="L334" s="170" t="str">
        <f>IF(OR(L321="Federal Mobility Budget", L321="Commute", L321="professional travel"), "Yes", IF(L321="EV Charging &amp; Fuel", "No", ""))</f>
        <v/>
      </c>
      <c r="M334" s="165" t="str">
        <f t="shared" si="16"/>
        <v/>
      </c>
      <c r="N334" s="22"/>
      <c r="O334" s="22"/>
      <c r="P334" s="161"/>
      <c r="Q334" s="35"/>
      <c r="R334" s="36"/>
      <c r="S334" s="150"/>
      <c r="T334" s="35"/>
      <c r="U334" s="36"/>
      <c r="V334" s="23"/>
      <c r="W334" s="23"/>
    </row>
    <row r="335" hidden="1" outlineLevel="1">
      <c r="A335" s="22"/>
      <c r="B335" s="22"/>
      <c r="C335" s="22"/>
      <c r="D335" s="22"/>
      <c r="E335" s="152" t="s">
        <v>183</v>
      </c>
      <c r="F335" s="131"/>
      <c r="G335" s="131"/>
      <c r="H335" s="131"/>
      <c r="I335" s="131"/>
      <c r="J335" s="131"/>
      <c r="K335" s="166"/>
      <c r="L335" s="171" t="str">
        <f>IF(OR(L321="Federal Mobility Budget"), "Yes", IF(OR(L321="professional travel", L321="EV Charging &amp; Fuel", L321="Commute"), "No", ""))</f>
        <v/>
      </c>
      <c r="M335" s="165" t="str">
        <f t="shared" si="16"/>
        <v/>
      </c>
      <c r="N335" s="22"/>
      <c r="O335" s="22"/>
      <c r="P335" s="161"/>
      <c r="Q335" s="35"/>
      <c r="R335" s="36"/>
      <c r="S335" s="150"/>
      <c r="T335" s="35"/>
      <c r="U335" s="36"/>
      <c r="V335" s="23"/>
      <c r="W335" s="23"/>
    </row>
    <row r="336" hidden="1" outlineLevel="1">
      <c r="A336" s="22"/>
      <c r="B336" s="22"/>
      <c r="C336" s="22"/>
      <c r="D336" s="22"/>
      <c r="E336" s="162" t="s">
        <v>184</v>
      </c>
      <c r="F336" s="128"/>
      <c r="G336" s="128"/>
      <c r="H336" s="128"/>
      <c r="I336" s="128"/>
      <c r="J336" s="128"/>
      <c r="K336" s="163"/>
      <c r="L336" s="170" t="str">
        <f>IF(OR(L321="professional travel"), "Yes", IF(OR(L321="Federal Mobility Budget", L321="EV Charging &amp; Fuel", L321="Commute"), "No", ""))</f>
        <v/>
      </c>
      <c r="M336" s="165" t="str">
        <f t="shared" si="16"/>
        <v/>
      </c>
      <c r="N336" s="22"/>
      <c r="O336" s="22"/>
      <c r="P336" s="161"/>
      <c r="Q336" s="35"/>
      <c r="R336" s="36"/>
      <c r="S336" s="150"/>
      <c r="T336" s="35"/>
      <c r="U336" s="36"/>
      <c r="V336" s="23"/>
      <c r="W336" s="23"/>
    </row>
    <row r="337" hidden="1" outlineLevel="1">
      <c r="A337" s="22"/>
      <c r="B337" s="22"/>
      <c r="C337" s="22"/>
      <c r="D337" s="22"/>
      <c r="E337" s="152" t="s">
        <v>185</v>
      </c>
      <c r="F337" s="131"/>
      <c r="G337" s="131"/>
      <c r="H337" s="131"/>
      <c r="I337" s="131"/>
      <c r="J337" s="131"/>
      <c r="K337" s="166"/>
      <c r="L337" s="171" t="str">
        <f>IF(OR(L321="Federal Mobility Budget", L321="Commute", L321="professional travel"), "Yes", IF(L321="EV Charging &amp; Fuel", "No", ""))</f>
        <v/>
      </c>
      <c r="M337" s="165" t="str">
        <f t="shared" si="16"/>
        <v/>
      </c>
      <c r="N337" s="22"/>
      <c r="O337" s="22"/>
      <c r="P337" s="161"/>
      <c r="Q337" s="35"/>
      <c r="R337" s="36"/>
      <c r="S337" s="150"/>
      <c r="T337" s="35"/>
      <c r="U337" s="36"/>
      <c r="V337" s="23"/>
      <c r="W337" s="23"/>
    </row>
    <row r="338" hidden="1" outlineLevel="1">
      <c r="A338" s="22"/>
      <c r="B338" s="22"/>
      <c r="C338" s="22"/>
      <c r="D338" s="22"/>
      <c r="E338" s="162" t="s">
        <v>186</v>
      </c>
      <c r="F338" s="128"/>
      <c r="G338" s="128"/>
      <c r="H338" s="128"/>
      <c r="I338" s="128"/>
      <c r="J338" s="128"/>
      <c r="K338" s="163"/>
      <c r="L338" s="170" t="str">
        <f>IF(OR(L321="Federal Mobility Budget", L321="Commute", L321="professional travel"), "Yes", IF(L321="EV Charging &amp; Fuel", "No", ""))</f>
        <v/>
      </c>
      <c r="M338" s="165" t="str">
        <f t="shared" si="16"/>
        <v/>
      </c>
      <c r="N338" s="22"/>
      <c r="O338" s="22"/>
      <c r="P338" s="161"/>
      <c r="Q338" s="35"/>
      <c r="R338" s="36"/>
      <c r="S338" s="150"/>
      <c r="T338" s="35"/>
      <c r="U338" s="36"/>
      <c r="V338" s="23"/>
      <c r="W338" s="23"/>
    </row>
    <row r="339" hidden="1" outlineLevel="1">
      <c r="A339" s="22"/>
      <c r="B339" s="22"/>
      <c r="C339" s="22"/>
      <c r="D339" s="22"/>
      <c r="E339" s="152" t="s">
        <v>187</v>
      </c>
      <c r="F339" s="131"/>
      <c r="G339" s="131"/>
      <c r="H339" s="131"/>
      <c r="I339" s="131"/>
      <c r="J339" s="131"/>
      <c r="K339" s="166"/>
      <c r="L339" s="171" t="str">
        <f>IF(OR(L321="Federal Mobility Budget", L321="professional travel"), "Yes", IF(OR(L321="EV Charging &amp; Fuel", L321="Commute"), "No", ""))</f>
        <v/>
      </c>
      <c r="M339" s="165" t="str">
        <f t="shared" si="16"/>
        <v/>
      </c>
      <c r="N339" s="22"/>
      <c r="O339" s="22"/>
      <c r="P339" s="161"/>
      <c r="Q339" s="35"/>
      <c r="R339" s="36"/>
      <c r="S339" s="150"/>
      <c r="T339" s="35"/>
      <c r="U339" s="36"/>
      <c r="V339" s="23"/>
      <c r="W339" s="23"/>
    </row>
    <row r="340" hidden="1" outlineLevel="1">
      <c r="A340" s="22"/>
      <c r="B340" s="22"/>
      <c r="C340" s="22"/>
      <c r="D340" s="22"/>
      <c r="E340" s="162" t="s">
        <v>188</v>
      </c>
      <c r="F340" s="128"/>
      <c r="G340" s="128"/>
      <c r="H340" s="128"/>
      <c r="I340" s="128"/>
      <c r="J340" s="128"/>
      <c r="K340" s="163"/>
      <c r="L340" s="170" t="str">
        <f>IF(OR(L321="Federal Mobility Budget", L321="Commute", L321="professional travel"), "No", IF(L321="EV Charging &amp; Fuel", "Yes", ""))</f>
        <v/>
      </c>
      <c r="M340" s="165" t="str">
        <f t="shared" si="16"/>
        <v/>
      </c>
      <c r="N340" s="22"/>
      <c r="O340" s="22"/>
      <c r="P340" s="161"/>
      <c r="Q340" s="35"/>
      <c r="R340" s="36"/>
      <c r="S340" s="150"/>
      <c r="T340" s="35"/>
      <c r="U340" s="36"/>
      <c r="V340" s="23"/>
      <c r="W340" s="23"/>
    </row>
    <row r="341" hidden="1" outlineLevel="1">
      <c r="A341" s="22"/>
      <c r="B341" s="22"/>
      <c r="C341" s="22"/>
      <c r="D341" s="22"/>
      <c r="E341" s="310" t="s">
        <v>189</v>
      </c>
      <c r="F341" s="35"/>
      <c r="G341" s="35"/>
      <c r="H341" s="35"/>
      <c r="I341" s="35"/>
      <c r="J341" s="35"/>
      <c r="K341" s="153"/>
      <c r="L341" s="171" t="str">
        <f>IF(OR(L321="Federal Mobility Budget", L321="Commute", L321="professional travel"), "No", IF(L321="EV Charging &amp; Fuel", "No", ""))</f>
        <v/>
      </c>
      <c r="M341" s="165" t="str">
        <f t="shared" si="16"/>
        <v/>
      </c>
      <c r="N341" s="22"/>
      <c r="O341" s="22"/>
      <c r="P341" s="161"/>
      <c r="Q341" s="35"/>
      <c r="R341" s="36"/>
      <c r="S341" s="150"/>
      <c r="T341" s="35"/>
      <c r="U341" s="36"/>
      <c r="V341" s="23"/>
      <c r="W341" s="23"/>
    </row>
    <row r="342" hidden="1" outlineLevel="1" collapsed="1">
      <c r="A342" s="22"/>
      <c r="B342" s="22"/>
      <c r="C342" s="22"/>
      <c r="D342" s="22"/>
      <c r="E342" s="162" t="s">
        <v>190</v>
      </c>
      <c r="F342" s="128"/>
      <c r="G342" s="128"/>
      <c r="H342" s="128"/>
      <c r="I342" s="128"/>
      <c r="J342" s="128"/>
      <c r="K342" s="163"/>
      <c r="L342" s="170" t="str">
        <f>IF(OR(L321="Federal Mobility Budget"), "Yes", IF(OR(L321="professional travel", L321="EV Charging &amp; Fuel", L321="Commute"), "No", ""))</f>
        <v/>
      </c>
      <c r="M342" s="165" t="str">
        <f t="shared" si="16"/>
        <v/>
      </c>
      <c r="N342" s="22"/>
      <c r="O342" s="22"/>
      <c r="P342" s="150"/>
      <c r="Q342" s="35"/>
      <c r="R342" s="36"/>
      <c r="S342" s="172"/>
      <c r="T342" s="172"/>
      <c r="U342" s="172"/>
      <c r="V342" s="23"/>
      <c r="W342" s="23"/>
    </row>
    <row r="343" hidden="1" outlineLevel="2">
      <c r="A343" s="22"/>
      <c r="B343" s="22"/>
      <c r="C343" s="22"/>
      <c r="D343" s="22"/>
      <c r="E343" s="173" t="s">
        <v>191</v>
      </c>
      <c r="F343" s="174"/>
      <c r="G343" s="174"/>
      <c r="H343" s="174"/>
      <c r="I343" s="174"/>
      <c r="J343" s="175"/>
      <c r="K343" s="176" t="str">
        <f>IF((L342="Yes"),"Yes allow","") </f>
        <v/>
      </c>
      <c r="L343" s="177"/>
      <c r="M343" s="18"/>
      <c r="N343" s="22"/>
      <c r="O343" s="22"/>
      <c r="P343" s="311"/>
      <c r="Q343" s="311"/>
      <c r="R343" s="311"/>
      <c r="S343" s="172"/>
      <c r="T343" s="172"/>
      <c r="U343" s="172"/>
      <c r="V343" s="23"/>
      <c r="W343" s="23"/>
    </row>
    <row r="344" hidden="1" outlineLevel="2">
      <c r="A344" s="22"/>
      <c r="B344" s="22"/>
      <c r="C344" s="22"/>
      <c r="D344" s="22"/>
      <c r="E344" s="178" t="s">
        <v>192</v>
      </c>
      <c r="F344" s="179"/>
      <c r="G344" s="179"/>
      <c r="H344" s="179"/>
      <c r="I344" s="179"/>
      <c r="J344" s="180"/>
      <c r="K344" s="304" t="str">
        <f>IF((L342="Yes"),"Yes allow","") </f>
        <v/>
      </c>
      <c r="L344" s="305"/>
      <c r="M344" s="18"/>
      <c r="N344" s="22"/>
      <c r="O344" s="22"/>
      <c r="P344" s="311"/>
      <c r="Q344" s="311"/>
      <c r="R344" s="311"/>
      <c r="S344" s="172"/>
      <c r="T344" s="172"/>
      <c r="U344" s="172"/>
      <c r="V344" s="23"/>
      <c r="W344" s="23"/>
    </row>
    <row r="345" hidden="1" outlineLevel="1" collapsed="1">
      <c r="A345" s="22"/>
      <c r="B345" s="22"/>
      <c r="C345" s="22"/>
      <c r="D345" s="22"/>
      <c r="E345" s="152" t="s">
        <v>317</v>
      </c>
      <c r="F345" s="35"/>
      <c r="G345" s="35"/>
      <c r="H345" s="35"/>
      <c r="I345" s="35"/>
      <c r="J345" s="35"/>
      <c r="K345" s="153"/>
      <c r="L345" s="171" t="str">
        <f>IF(OR(L321="Federal Mobility Budget", L321="Commute", L321="professional travel"), "Yes", IF(L321="EV Charging &amp; Fuel", "No", ""))</f>
        <v/>
      </c>
      <c r="M345" s="165" t="str">
        <f>L345</f>
        <v/>
      </c>
      <c r="N345" s="22"/>
      <c r="O345" s="22"/>
      <c r="P345" s="161"/>
      <c r="Q345" s="35"/>
      <c r="R345" s="36"/>
      <c r="S345" s="150"/>
      <c r="T345" s="35"/>
      <c r="U345" s="36"/>
      <c r="V345" s="23"/>
      <c r="W345" s="23"/>
    </row>
    <row r="346" hidden="1" outlineLevel="2">
      <c r="A346" s="22"/>
      <c r="B346" s="22"/>
      <c r="C346" s="22"/>
      <c r="D346" s="22"/>
      <c r="E346" s="182" t="s">
        <v>194</v>
      </c>
      <c r="F346" s="183"/>
      <c r="G346" s="183"/>
      <c r="H346" s="183"/>
      <c r="I346" s="183"/>
      <c r="J346" s="184"/>
      <c r="K346" s="185" t="str">
        <f>IF(OR(L345="Yes",L345="Often"),"0.37","") </f>
        <v/>
      </c>
      <c r="L346" s="186"/>
      <c r="M346" s="187" t="str">
        <f t="shared" ref="M346:M347" si="17">K346</f>
        <v/>
      </c>
      <c r="N346" s="22"/>
      <c r="O346" s="22"/>
      <c r="P346" s="161"/>
      <c r="Q346" s="35"/>
      <c r="R346" s="36"/>
      <c r="S346" s="150"/>
      <c r="T346" s="35"/>
      <c r="U346" s="36"/>
      <c r="V346" s="23"/>
      <c r="W346" s="23"/>
    </row>
    <row r="347" hidden="1" outlineLevel="2">
      <c r="A347" s="22"/>
      <c r="B347" s="22"/>
      <c r="C347" s="22"/>
      <c r="D347" s="22"/>
      <c r="E347" s="188" t="s">
        <v>195</v>
      </c>
      <c r="F347" s="189"/>
      <c r="G347" s="189"/>
      <c r="H347" s="189"/>
      <c r="I347" s="189"/>
      <c r="J347" s="190"/>
      <c r="K347" s="191" t="str">
        <f>IF(OR(L345="Yes",L345="Often"),"120","") </f>
        <v/>
      </c>
      <c r="L347" s="192"/>
      <c r="M347" s="187" t="str">
        <f t="shared" si="17"/>
        <v/>
      </c>
      <c r="N347" s="22"/>
      <c r="O347" s="22"/>
      <c r="P347" s="161"/>
      <c r="Q347" s="35"/>
      <c r="R347" s="36"/>
      <c r="S347" s="150"/>
      <c r="T347" s="35"/>
      <c r="U347" s="36"/>
      <c r="V347" s="23"/>
      <c r="W347" s="23"/>
    </row>
    <row r="348" hidden="1" outlineLevel="2">
      <c r="A348" s="22"/>
      <c r="B348" s="22"/>
      <c r="C348" s="22"/>
      <c r="D348" s="22"/>
      <c r="E348" s="188" t="s">
        <v>196</v>
      </c>
      <c r="F348" s="189"/>
      <c r="G348" s="189"/>
      <c r="H348" s="189"/>
      <c r="I348" s="189"/>
      <c r="J348" s="190"/>
      <c r="K348" s="191" t="str">
        <f>IF(OR(L345="Yes",L345="Often"),"No don't allow","") </f>
        <v/>
      </c>
      <c r="L348" s="192"/>
      <c r="M348" s="18"/>
      <c r="N348" s="22"/>
      <c r="O348" s="22"/>
      <c r="P348" s="161"/>
      <c r="Q348" s="35"/>
      <c r="R348" s="36"/>
      <c r="S348" s="150"/>
      <c r="T348" s="35"/>
      <c r="U348" s="36"/>
      <c r="V348" s="23"/>
      <c r="W348" s="23"/>
    </row>
    <row r="349" hidden="1" outlineLevel="2">
      <c r="A349" s="22"/>
      <c r="B349" s="22"/>
      <c r="C349" s="22"/>
      <c r="D349" s="22"/>
      <c r="E349" s="194" t="s">
        <v>197</v>
      </c>
      <c r="F349" s="195"/>
      <c r="G349" s="195"/>
      <c r="H349" s="195"/>
      <c r="I349" s="195"/>
      <c r="J349" s="196"/>
      <c r="K349" s="197" t="str">
        <f>IF(OR(L345="Yes",L345="Often"),"No auto-approved","") </f>
        <v/>
      </c>
      <c r="L349" s="198"/>
      <c r="M349" s="18"/>
      <c r="N349" s="22"/>
      <c r="O349" s="22"/>
      <c r="P349" s="161"/>
      <c r="Q349" s="35"/>
      <c r="R349" s="36"/>
      <c r="S349" s="150"/>
      <c r="T349" s="35"/>
      <c r="U349" s="36"/>
      <c r="V349" s="23"/>
      <c r="W349" s="23"/>
    </row>
    <row r="350" hidden="1" outlineLevel="1" collapsed="1">
      <c r="A350" s="22"/>
      <c r="B350" s="22"/>
      <c r="C350" s="22"/>
      <c r="D350" s="22"/>
      <c r="E350" s="162" t="s">
        <v>318</v>
      </c>
      <c r="F350" s="35"/>
      <c r="G350" s="35"/>
      <c r="H350" s="35"/>
      <c r="I350" s="35"/>
      <c r="J350" s="35"/>
      <c r="K350" s="199"/>
      <c r="L350" s="200" t="str">
        <f>IF(OR(L321="professional travel", L321="Commute"), "Yes", IF(OR(L321="Federal Mobility Budget", L321="EV Charging &amp; Fuel"), "No", ""))</f>
        <v/>
      </c>
      <c r="M350" s="165" t="str">
        <f>L350</f>
        <v/>
      </c>
      <c r="N350" s="22"/>
      <c r="O350" s="22"/>
      <c r="P350" s="161"/>
      <c r="Q350" s="35"/>
      <c r="R350" s="36"/>
      <c r="S350" s="150"/>
      <c r="T350" s="35"/>
      <c r="U350" s="36"/>
      <c r="V350" s="23"/>
      <c r="W350" s="23"/>
    </row>
    <row r="351" hidden="1" outlineLevel="2">
      <c r="A351" s="22"/>
      <c r="B351" s="22"/>
      <c r="C351" s="22"/>
      <c r="D351" s="22"/>
      <c r="E351" s="173" t="s">
        <v>194</v>
      </c>
      <c r="F351" s="201"/>
      <c r="G351" s="201"/>
      <c r="H351" s="201"/>
      <c r="I351" s="201"/>
      <c r="J351" s="202"/>
      <c r="K351" s="203" t="str">
        <f>IF(OR(L350="Yes",L350="Often"),"0.43","") </f>
        <v/>
      </c>
      <c r="L351" s="204"/>
      <c r="M351" s="187" t="str">
        <f t="shared" ref="M351:M352" si="18">K351</f>
        <v/>
      </c>
      <c r="N351" s="22"/>
      <c r="O351" s="22"/>
      <c r="P351" s="161"/>
      <c r="Q351" s="35"/>
      <c r="R351" s="36"/>
      <c r="S351" s="150"/>
      <c r="T351" s="35"/>
      <c r="U351" s="36"/>
      <c r="V351" s="23"/>
      <c r="W351" s="23"/>
    </row>
    <row r="352" hidden="1" outlineLevel="2">
      <c r="A352" s="22"/>
      <c r="B352" s="22"/>
      <c r="C352" s="22"/>
      <c r="D352" s="22"/>
      <c r="E352" s="205" t="s">
        <v>195</v>
      </c>
      <c r="F352" s="206"/>
      <c r="G352" s="206"/>
      <c r="H352" s="206"/>
      <c r="I352" s="206"/>
      <c r="J352" s="207"/>
      <c r="K352" s="176" t="str">
        <f>IF(OR(L350="Yes",L350="Often"),"250","") </f>
        <v/>
      </c>
      <c r="L352" s="208"/>
      <c r="M352" s="187" t="str">
        <f t="shared" si="18"/>
        <v/>
      </c>
      <c r="N352" s="22"/>
      <c r="O352" s="22"/>
      <c r="P352" s="161"/>
      <c r="Q352" s="35"/>
      <c r="R352" s="36"/>
      <c r="S352" s="150"/>
      <c r="T352" s="35"/>
      <c r="U352" s="36"/>
      <c r="V352" s="23"/>
      <c r="W352" s="23"/>
    </row>
    <row r="353" hidden="1" outlineLevel="2">
      <c r="A353" s="22"/>
      <c r="B353" s="22"/>
      <c r="C353" s="22"/>
      <c r="D353" s="22"/>
      <c r="E353" s="205" t="s">
        <v>196</v>
      </c>
      <c r="F353" s="206"/>
      <c r="G353" s="206"/>
      <c r="H353" s="206"/>
      <c r="I353" s="206"/>
      <c r="J353" s="207"/>
      <c r="K353" s="176" t="str">
        <f>IF(OR(L350="Yes",L350="Often"),"No don't allow","") </f>
        <v/>
      </c>
      <c r="L353" s="208"/>
      <c r="M353" s="18"/>
      <c r="N353" s="22"/>
      <c r="O353" s="22"/>
      <c r="P353" s="161"/>
      <c r="Q353" s="35"/>
      <c r="R353" s="36"/>
      <c r="S353" s="150"/>
      <c r="T353" s="35"/>
      <c r="U353" s="36"/>
      <c r="V353" s="23"/>
      <c r="W353" s="23"/>
    </row>
    <row r="354" hidden="1" outlineLevel="2">
      <c r="A354" s="22"/>
      <c r="B354" s="22"/>
      <c r="C354" s="22"/>
      <c r="D354" s="22"/>
      <c r="E354" s="178" t="s">
        <v>197</v>
      </c>
      <c r="F354" s="209"/>
      <c r="G354" s="209"/>
      <c r="H354" s="209"/>
      <c r="I354" s="209"/>
      <c r="J354" s="210"/>
      <c r="K354" s="176" t="str">
        <f>IF(OR(L350="Yes",L350="Often"),"No auto-approved","") </f>
        <v/>
      </c>
      <c r="L354" s="208"/>
      <c r="M354" s="18"/>
      <c r="N354" s="22"/>
      <c r="O354" s="22"/>
      <c r="P354" s="161"/>
      <c r="Q354" s="35"/>
      <c r="R354" s="36"/>
      <c r="S354" s="150"/>
      <c r="T354" s="35"/>
      <c r="U354" s="36"/>
      <c r="V354" s="23"/>
      <c r="W354" s="23"/>
    </row>
    <row r="355" hidden="1" outlineLevel="1" collapsed="1">
      <c r="A355" s="22"/>
      <c r="B355" s="22"/>
      <c r="C355" s="22"/>
      <c r="D355" s="22"/>
      <c r="E355" s="152" t="s">
        <v>319</v>
      </c>
      <c r="F355" s="35"/>
      <c r="G355" s="35"/>
      <c r="H355" s="35"/>
      <c r="I355" s="35"/>
      <c r="J355" s="35"/>
      <c r="K355" s="153"/>
      <c r="L355" s="211" t="str">
        <f>IF(L321="commute","Often",IF(L321="professional travel","Yes",IF(OR(L321="Federal Mobility Budget",L321="EV Charging &amp; Fuel"),"No",L321)))</f>
        <v/>
      </c>
      <c r="M355" s="165"/>
      <c r="N355" s="22"/>
      <c r="O355" s="22"/>
      <c r="P355" s="169"/>
      <c r="Q355" s="35"/>
      <c r="R355" s="36"/>
      <c r="S355" s="150"/>
      <c r="T355" s="35"/>
      <c r="U355" s="36"/>
      <c r="V355" s="23"/>
      <c r="W355" s="23"/>
    </row>
    <row r="356" hidden="1" outlineLevel="2">
      <c r="A356" s="22"/>
      <c r="B356" s="22"/>
      <c r="C356" s="22"/>
      <c r="D356" s="22"/>
      <c r="E356" s="182" t="s">
        <v>194</v>
      </c>
      <c r="F356" s="183"/>
      <c r="G356" s="183"/>
      <c r="H356" s="183"/>
      <c r="I356" s="183"/>
      <c r="J356" s="184"/>
      <c r="K356" s="185" t="str">
        <f>IF(OR(L355="Yes",L355="Often"),"0.43","") </f>
        <v/>
      </c>
      <c r="L356" s="186"/>
      <c r="M356" s="187" t="str">
        <f t="shared" ref="M356:M357" si="19">K356</f>
        <v/>
      </c>
      <c r="N356" s="22"/>
      <c r="O356" s="22"/>
      <c r="P356" s="161"/>
      <c r="Q356" s="35"/>
      <c r="R356" s="36"/>
      <c r="S356" s="150"/>
      <c r="T356" s="35"/>
      <c r="U356" s="36"/>
      <c r="V356" s="23"/>
      <c r="W356" s="23"/>
    </row>
    <row r="357" hidden="1" outlineLevel="2">
      <c r="A357" s="22"/>
      <c r="B357" s="22"/>
      <c r="C357" s="22"/>
      <c r="D357" s="22"/>
      <c r="E357" s="188" t="s">
        <v>195</v>
      </c>
      <c r="F357" s="189"/>
      <c r="G357" s="189"/>
      <c r="H357" s="189"/>
      <c r="I357" s="189"/>
      <c r="J357" s="190"/>
      <c r="K357" s="191" t="str">
        <f>IF(OR(L355="Yes",L355="Often"),"250","") </f>
        <v/>
      </c>
      <c r="L357" s="192"/>
      <c r="M357" s="187" t="str">
        <f t="shared" si="19"/>
        <v/>
      </c>
      <c r="N357" s="22"/>
      <c r="O357" s="22"/>
      <c r="P357" s="161"/>
      <c r="Q357" s="35"/>
      <c r="R357" s="36"/>
      <c r="S357" s="150"/>
      <c r="T357" s="35"/>
      <c r="U357" s="36"/>
      <c r="V357" s="23"/>
      <c r="W357" s="23"/>
    </row>
    <row r="358" hidden="1" outlineLevel="2">
      <c r="A358" s="22"/>
      <c r="B358" s="22"/>
      <c r="C358" s="22"/>
      <c r="D358" s="22"/>
      <c r="E358" s="188" t="s">
        <v>196</v>
      </c>
      <c r="F358" s="189"/>
      <c r="G358" s="189"/>
      <c r="H358" s="189"/>
      <c r="I358" s="189"/>
      <c r="J358" s="190"/>
      <c r="K358" s="191" t="str">
        <f>IF(OR(L355="Yes",L355="Often"),"No don't allow","") </f>
        <v/>
      </c>
      <c r="L358" s="192"/>
      <c r="M358" s="18"/>
      <c r="N358" s="22"/>
      <c r="O358" s="22"/>
      <c r="P358" s="161"/>
      <c r="Q358" s="35"/>
      <c r="R358" s="36"/>
      <c r="S358" s="150"/>
      <c r="T358" s="35"/>
      <c r="U358" s="36"/>
      <c r="V358" s="23"/>
      <c r="W358" s="23"/>
    </row>
    <row r="359" hidden="1" outlineLevel="2">
      <c r="A359" s="22"/>
      <c r="B359" s="22"/>
      <c r="C359" s="22"/>
      <c r="D359" s="22"/>
      <c r="E359" s="194" t="s">
        <v>197</v>
      </c>
      <c r="F359" s="195"/>
      <c r="G359" s="195"/>
      <c r="H359" s="195"/>
      <c r="I359" s="195"/>
      <c r="J359" s="196"/>
      <c r="K359" s="197" t="str">
        <f>IF(OR(L355="Yes",L355="Often"),"No auto-approved","") </f>
        <v/>
      </c>
      <c r="L359" s="198"/>
      <c r="M359" s="18"/>
      <c r="N359" s="22"/>
      <c r="O359" s="22"/>
      <c r="P359" s="161"/>
      <c r="Q359" s="35"/>
      <c r="R359" s="36"/>
      <c r="S359" s="150"/>
      <c r="T359" s="35"/>
      <c r="U359" s="36"/>
      <c r="V359" s="23"/>
      <c r="W359" s="23"/>
    </row>
    <row r="360" hidden="1" outlineLevel="1" collapsed="1">
      <c r="A360" s="22"/>
      <c r="B360" s="22"/>
      <c r="C360" s="22"/>
      <c r="D360" s="22"/>
      <c r="E360" s="162" t="s">
        <v>320</v>
      </c>
      <c r="F360" s="35"/>
      <c r="G360" s="35"/>
      <c r="H360" s="35"/>
      <c r="I360" s="35"/>
      <c r="J360" s="35"/>
      <c r="K360" s="199"/>
      <c r="L360" s="200" t="str">
        <f>IF(L321="Commute","Yes",IF(L321="Federal Mobility Budget","Often",IF(OR(L321="Professional Travel",L321="EV Charging &amp; Fuel"),"No",L321)))</f>
        <v/>
      </c>
      <c r="M360" s="165"/>
      <c r="N360" s="22"/>
      <c r="O360" s="22"/>
      <c r="P360" s="161"/>
      <c r="Q360" s="35"/>
      <c r="R360" s="36"/>
      <c r="S360" s="150"/>
      <c r="T360" s="35"/>
      <c r="U360" s="36"/>
      <c r="V360" s="23"/>
      <c r="W360" s="23"/>
    </row>
    <row r="361" hidden="1" outlineLevel="2">
      <c r="A361" s="22"/>
      <c r="B361" s="22"/>
      <c r="C361" s="22"/>
      <c r="D361" s="22"/>
      <c r="E361" s="173" t="s">
        <v>194</v>
      </c>
      <c r="F361" s="201"/>
      <c r="G361" s="201"/>
      <c r="H361" s="201"/>
      <c r="I361" s="201"/>
      <c r="J361" s="202"/>
      <c r="K361" s="203" t="str">
        <f>IF(OR(L360="Yes",L360="Often"),"0.36","") </f>
        <v/>
      </c>
      <c r="L361" s="204"/>
      <c r="M361" s="187" t="str">
        <f t="shared" ref="M361:M362" si="20">K361</f>
        <v/>
      </c>
      <c r="N361" s="22"/>
      <c r="O361" s="22"/>
      <c r="P361" s="150"/>
      <c r="Q361" s="35"/>
      <c r="R361" s="36"/>
      <c r="S361" s="150"/>
      <c r="T361" s="35"/>
      <c r="U361" s="36"/>
      <c r="V361" s="23"/>
      <c r="W361" s="23"/>
    </row>
    <row r="362" hidden="1" outlineLevel="2">
      <c r="A362" s="22"/>
      <c r="B362" s="22"/>
      <c r="C362" s="22"/>
      <c r="D362" s="22"/>
      <c r="E362" s="205" t="s">
        <v>195</v>
      </c>
      <c r="F362" s="206"/>
      <c r="G362" s="206"/>
      <c r="H362" s="206"/>
      <c r="I362" s="206"/>
      <c r="J362" s="207"/>
      <c r="K362" s="176" t="str">
        <f>IF(OR(L360="Yes",L360="Often"),"15","") </f>
        <v/>
      </c>
      <c r="L362" s="208"/>
      <c r="M362" s="187" t="str">
        <f t="shared" si="20"/>
        <v/>
      </c>
      <c r="N362" s="22"/>
      <c r="O362" s="22"/>
      <c r="P362" s="150"/>
      <c r="Q362" s="35"/>
      <c r="R362" s="36"/>
      <c r="S362" s="150"/>
      <c r="T362" s="35"/>
      <c r="U362" s="36"/>
      <c r="V362" s="23"/>
      <c r="W362" s="23"/>
    </row>
    <row r="363" hidden="1" outlineLevel="2">
      <c r="A363" s="22"/>
      <c r="B363" s="22"/>
      <c r="C363" s="22"/>
      <c r="D363" s="22"/>
      <c r="E363" s="205" t="s">
        <v>196</v>
      </c>
      <c r="F363" s="206"/>
      <c r="G363" s="206"/>
      <c r="H363" s="206"/>
      <c r="I363" s="206"/>
      <c r="J363" s="207"/>
      <c r="K363" s="176" t="str">
        <f>IF(OR(L360="Yes",L360="Often"),"No don't allow","") </f>
        <v/>
      </c>
      <c r="L363" s="208"/>
      <c r="M363" s="18"/>
      <c r="N363" s="22"/>
      <c r="O363" s="22"/>
      <c r="P363" s="150"/>
      <c r="Q363" s="35"/>
      <c r="R363" s="36"/>
      <c r="S363" s="150"/>
      <c r="T363" s="35"/>
      <c r="U363" s="36"/>
      <c r="V363" s="23"/>
      <c r="W363" s="23"/>
    </row>
    <row r="364" hidden="1" outlineLevel="2">
      <c r="A364" s="22"/>
      <c r="B364" s="22"/>
      <c r="C364" s="22"/>
      <c r="D364" s="22"/>
      <c r="E364" s="178" t="s">
        <v>197</v>
      </c>
      <c r="F364" s="209"/>
      <c r="G364" s="209"/>
      <c r="H364" s="209"/>
      <c r="I364" s="209"/>
      <c r="J364" s="210"/>
      <c r="K364" s="176" t="str">
        <f>IF(OR(L360="Yes",L360="Often"),"No auto-approved","") </f>
        <v/>
      </c>
      <c r="L364" s="208"/>
      <c r="M364" s="18"/>
      <c r="N364" s="22"/>
      <c r="O364" s="22"/>
      <c r="P364" s="150"/>
      <c r="Q364" s="35"/>
      <c r="R364" s="36"/>
      <c r="S364" s="150"/>
      <c r="T364" s="35"/>
      <c r="U364" s="36"/>
      <c r="V364" s="23"/>
      <c r="W364" s="23"/>
    </row>
    <row r="365" collapsed="1">
      <c r="A365" s="146" t="s">
        <v>321</v>
      </c>
      <c r="B365" s="146"/>
      <c r="C365" s="147"/>
      <c r="D365" s="278"/>
      <c r="E365" s="148" t="s">
        <v>202</v>
      </c>
      <c r="F365" s="35"/>
      <c r="G365" s="35"/>
      <c r="H365" s="35"/>
      <c r="I365" s="35"/>
      <c r="J365" s="35"/>
      <c r="K365" s="35"/>
      <c r="L365" s="35"/>
      <c r="M365" s="36"/>
      <c r="N365" s="22"/>
      <c r="O365" s="22"/>
      <c r="P365" s="150"/>
      <c r="Q365" s="35"/>
      <c r="R365" s="36"/>
      <c r="S365" s="150"/>
      <c r="T365" s="35"/>
      <c r="U365" s="36"/>
      <c r="V365" s="23"/>
      <c r="W365" s="23"/>
    </row>
    <row r="366" hidden="1" outlineLevel="1">
      <c r="A366" s="22"/>
      <c r="B366" s="22"/>
      <c r="C366" s="43"/>
      <c r="D366" s="22"/>
      <c r="E366" s="212" t="s">
        <v>322</v>
      </c>
      <c r="F366" s="10"/>
      <c r="G366" s="10"/>
      <c r="H366" s="10"/>
      <c r="I366" s="10"/>
      <c r="J366" s="10"/>
      <c r="K366" s="10"/>
      <c r="L366" s="213"/>
      <c r="M366" s="214"/>
      <c r="N366" s="22"/>
      <c r="O366" s="22"/>
      <c r="P366" s="150"/>
      <c r="Q366" s="35"/>
      <c r="R366" s="36"/>
      <c r="S366" s="150"/>
      <c r="T366" s="35"/>
      <c r="U366" s="36"/>
      <c r="V366" s="23"/>
      <c r="W366" s="23"/>
    </row>
    <row r="367" hidden="1" outlineLevel="1" collapsed="1">
      <c r="A367" s="22"/>
      <c r="B367" s="22"/>
      <c r="C367" s="43"/>
      <c r="D367" s="23"/>
      <c r="E367" s="215" t="s">
        <v>323</v>
      </c>
      <c r="F367" s="216"/>
      <c r="G367" s="216"/>
      <c r="H367" s="216"/>
      <c r="I367" s="216"/>
      <c r="J367" s="216"/>
      <c r="K367" s="216"/>
      <c r="L367" s="216"/>
      <c r="M367" s="217"/>
      <c r="N367" s="24"/>
      <c r="O367" s="22"/>
      <c r="P367" s="150"/>
      <c r="Q367" s="35"/>
      <c r="R367" s="36"/>
      <c r="S367" s="150"/>
      <c r="T367" s="35"/>
      <c r="U367" s="36"/>
      <c r="V367" s="23"/>
      <c r="W367" s="23"/>
    </row>
    <row r="368" hidden="1" outlineLevel="2">
      <c r="A368" s="218"/>
      <c r="B368" s="218"/>
      <c r="C368" s="219"/>
      <c r="D368" s="23"/>
      <c r="E368" s="220"/>
      <c r="F368" s="221" t="s">
        <v>206</v>
      </c>
      <c r="G368" s="222"/>
      <c r="H368" s="223"/>
      <c r="I368" s="223"/>
      <c r="J368" s="223"/>
      <c r="K368" s="223" t="s">
        <v>207</v>
      </c>
      <c r="L368" s="224" t="s">
        <v>208</v>
      </c>
      <c r="M368" s="225"/>
      <c r="N368" s="24"/>
      <c r="O368" s="22"/>
      <c r="P368" s="150"/>
      <c r="Q368" s="35"/>
      <c r="R368" s="36"/>
      <c r="S368" s="172"/>
      <c r="T368" s="172"/>
      <c r="U368" s="172"/>
      <c r="V368" s="23"/>
      <c r="W368" s="23"/>
    </row>
    <row r="369" hidden="1" outlineLevel="2">
      <c r="A369" s="218"/>
      <c r="B369" s="218"/>
      <c r="C369" s="219"/>
      <c r="D369" s="23"/>
      <c r="E369" s="220"/>
      <c r="F369" s="221" t="s">
        <v>209</v>
      </c>
      <c r="G369" s="222"/>
      <c r="H369" s="223"/>
      <c r="I369" s="223"/>
      <c r="J369" s="223"/>
      <c r="K369" s="223" t="s">
        <v>210</v>
      </c>
      <c r="L369" s="224" t="s">
        <v>211</v>
      </c>
      <c r="M369" s="225"/>
      <c r="N369" s="24"/>
      <c r="O369" s="22"/>
      <c r="P369" s="150"/>
      <c r="Q369" s="35"/>
      <c r="R369" s="36"/>
      <c r="S369" s="172"/>
      <c r="T369" s="172"/>
      <c r="U369" s="172"/>
      <c r="V369" s="23"/>
      <c r="W369" s="23"/>
    </row>
    <row r="370" hidden="1" outlineLevel="2">
      <c r="A370" s="218"/>
      <c r="B370" s="218"/>
      <c r="C370" s="219"/>
      <c r="D370" s="23"/>
      <c r="E370" s="220"/>
      <c r="F370" s="221" t="s">
        <v>212</v>
      </c>
      <c r="G370" s="222"/>
      <c r="H370" s="226" t="s">
        <v>213</v>
      </c>
      <c r="I370" s="189"/>
      <c r="J370" s="189"/>
      <c r="K370" s="190"/>
      <c r="L370" s="227"/>
      <c r="M370" s="225"/>
      <c r="N370" s="24"/>
      <c r="O370" s="22"/>
      <c r="P370" s="150"/>
      <c r="Q370" s="35"/>
      <c r="R370" s="36"/>
      <c r="S370" s="150"/>
      <c r="T370" s="35"/>
      <c r="U370" s="36"/>
      <c r="V370" s="23"/>
      <c r="W370" s="23"/>
    </row>
    <row r="371" hidden="1" outlineLevel="2">
      <c r="A371" s="218"/>
      <c r="B371" s="218"/>
      <c r="C371" s="219"/>
      <c r="D371" s="23"/>
      <c r="E371" s="220"/>
      <c r="F371" s="221" t="s">
        <v>214</v>
      </c>
      <c r="G371" s="222"/>
      <c r="H371" s="222"/>
      <c r="I371" s="226" t="s">
        <v>215</v>
      </c>
      <c r="J371" s="189"/>
      <c r="K371" s="190"/>
      <c r="L371" s="227"/>
      <c r="M371" s="225"/>
      <c r="N371" s="24"/>
      <c r="O371" s="22"/>
      <c r="P371" s="150"/>
      <c r="Q371" s="35"/>
      <c r="R371" s="36"/>
      <c r="S371" s="150"/>
      <c r="T371" s="35"/>
      <c r="U371" s="36"/>
      <c r="V371" s="23"/>
      <c r="W371" s="23"/>
    </row>
    <row r="372" hidden="1" outlineLevel="2">
      <c r="A372" s="218"/>
      <c r="B372" s="218"/>
      <c r="C372" s="219"/>
      <c r="D372" s="23"/>
      <c r="E372" s="220"/>
      <c r="F372" s="228" t="s">
        <v>216</v>
      </c>
      <c r="G372" s="222"/>
      <c r="H372" s="222"/>
      <c r="I372" s="223"/>
      <c r="J372" s="223"/>
      <c r="K372" s="223" t="s">
        <v>217</v>
      </c>
      <c r="L372" s="227"/>
      <c r="M372" s="225"/>
      <c r="N372" s="24"/>
      <c r="O372" s="22"/>
      <c r="P372" s="150"/>
      <c r="Q372" s="35"/>
      <c r="R372" s="36"/>
      <c r="S372" s="172"/>
      <c r="T372" s="172"/>
      <c r="U372" s="172"/>
      <c r="V372" s="23"/>
      <c r="W372" s="23"/>
    </row>
    <row r="373" hidden="1" outlineLevel="2">
      <c r="A373" s="218"/>
      <c r="B373" s="218"/>
      <c r="C373" s="219"/>
      <c r="D373" s="229"/>
      <c r="E373" s="230"/>
      <c r="F373" s="228" t="s">
        <v>218</v>
      </c>
      <c r="G373" s="231" t="s">
        <v>219</v>
      </c>
      <c r="H373" s="189"/>
      <c r="I373" s="189"/>
      <c r="J373" s="189"/>
      <c r="K373" s="190"/>
      <c r="L373" s="227"/>
      <c r="M373" s="225"/>
      <c r="N373" s="232"/>
      <c r="O373" s="22"/>
      <c r="P373" s="150"/>
      <c r="Q373" s="35"/>
      <c r="R373" s="36"/>
      <c r="S373" s="150"/>
      <c r="T373" s="35"/>
      <c r="U373" s="36"/>
      <c r="V373" s="229"/>
      <c r="W373" s="229"/>
    </row>
    <row r="374" hidden="1" outlineLevel="2">
      <c r="A374" s="218"/>
      <c r="B374" s="233"/>
      <c r="C374" s="234"/>
      <c r="D374" s="229"/>
      <c r="E374" s="230"/>
      <c r="F374" s="228" t="s">
        <v>220</v>
      </c>
      <c r="G374" s="235"/>
      <c r="H374" s="231" t="s">
        <v>221</v>
      </c>
      <c r="I374" s="189"/>
      <c r="J374" s="189"/>
      <c r="K374" s="190"/>
      <c r="L374" s="236"/>
      <c r="M374" s="237"/>
      <c r="N374" s="232"/>
      <c r="O374" s="22"/>
      <c r="P374" s="150"/>
      <c r="Q374" s="35"/>
      <c r="R374" s="36"/>
      <c r="S374" s="172"/>
      <c r="T374" s="172"/>
      <c r="U374" s="172"/>
      <c r="V374" s="229"/>
      <c r="W374" s="229"/>
    </row>
    <row r="375" hidden="1" outlineLevel="2">
      <c r="A375" s="238"/>
      <c r="B375" s="239"/>
      <c r="C375" s="240"/>
      <c r="D375" s="241"/>
      <c r="E375" s="242"/>
      <c r="F375" s="243" t="s">
        <v>222</v>
      </c>
      <c r="G375" s="244"/>
      <c r="H375" s="245"/>
      <c r="I375" s="245"/>
      <c r="J375" s="245"/>
      <c r="K375" s="246" t="s">
        <v>223</v>
      </c>
      <c r="L375" s="247"/>
      <c r="M375" s="248"/>
      <c r="N375" s="232"/>
      <c r="O375" s="22"/>
      <c r="P375" s="150"/>
      <c r="Q375" s="35"/>
      <c r="R375" s="36"/>
      <c r="S375" s="172"/>
      <c r="T375" s="172"/>
      <c r="U375" s="172"/>
      <c r="V375" s="229"/>
      <c r="W375" s="229"/>
    </row>
    <row r="376" hidden="1" outlineLevel="1" collapsed="1">
      <c r="A376" s="249"/>
      <c r="B376" s="250"/>
      <c r="C376" s="251"/>
      <c r="D376" s="252"/>
      <c r="E376" s="215" t="s">
        <v>324</v>
      </c>
      <c r="F376" s="216"/>
      <c r="G376" s="216"/>
      <c r="H376" s="216"/>
      <c r="I376" s="216"/>
      <c r="J376" s="216"/>
      <c r="K376" s="216"/>
      <c r="L376" s="216"/>
      <c r="M376" s="217"/>
      <c r="N376" s="253"/>
      <c r="O376" s="22"/>
      <c r="P376" s="150"/>
      <c r="Q376" s="35"/>
      <c r="R376" s="36"/>
      <c r="S376" s="150"/>
      <c r="T376" s="35"/>
      <c r="U376" s="36"/>
      <c r="V376" s="23"/>
      <c r="W376" s="23"/>
    </row>
    <row r="377" hidden="1" outlineLevel="2">
      <c r="A377" s="254"/>
      <c r="B377" s="250"/>
      <c r="C377" s="255"/>
      <c r="D377" s="256"/>
      <c r="E377" s="257" t="s">
        <v>225</v>
      </c>
      <c r="F377" s="190"/>
      <c r="G377" s="258" t="s">
        <v>226</v>
      </c>
      <c r="H377" s="258" t="s">
        <v>226</v>
      </c>
      <c r="I377" s="258" t="s">
        <v>227</v>
      </c>
      <c r="J377" s="258" t="s">
        <v>228</v>
      </c>
      <c r="K377" s="258" t="s">
        <v>229</v>
      </c>
      <c r="L377" s="258" t="s">
        <v>230</v>
      </c>
      <c r="M377" s="259" t="s">
        <v>231</v>
      </c>
      <c r="N377" s="260"/>
      <c r="O377" s="22"/>
      <c r="P377" s="150"/>
      <c r="Q377" s="35"/>
      <c r="R377" s="36"/>
      <c r="S377" s="172"/>
      <c r="T377" s="172"/>
      <c r="U377" s="172"/>
      <c r="V377" s="23"/>
      <c r="W377" s="23"/>
    </row>
    <row r="378" hidden="1" outlineLevel="2">
      <c r="A378" s="261"/>
      <c r="B378" s="255"/>
      <c r="C378" s="219"/>
      <c r="D378" s="12"/>
      <c r="E378" s="262" t="s">
        <v>207</v>
      </c>
      <c r="F378" s="196"/>
      <c r="G378" s="263" t="s">
        <v>232</v>
      </c>
      <c r="H378" s="263" t="s">
        <v>233</v>
      </c>
      <c r="I378" s="263" t="s">
        <v>234</v>
      </c>
      <c r="J378" s="263" t="s">
        <v>235</v>
      </c>
      <c r="K378" s="263" t="s">
        <v>236</v>
      </c>
      <c r="L378" s="263" t="s">
        <v>237</v>
      </c>
      <c r="M378" s="264" t="s">
        <v>237</v>
      </c>
      <c r="N378" s="260"/>
      <c r="O378" s="22"/>
      <c r="P378" s="150"/>
      <c r="Q378" s="35"/>
      <c r="R378" s="36"/>
      <c r="S378" s="172"/>
      <c r="T378" s="172"/>
      <c r="U378" s="172"/>
      <c r="V378" s="23"/>
      <c r="W378" s="23"/>
    </row>
    <row r="379" hidden="1" outlineLevel="2">
      <c r="A379" s="218"/>
      <c r="B379" s="218"/>
      <c r="C379" s="219"/>
      <c r="D379" s="12"/>
      <c r="E379" s="265"/>
      <c r="F379" s="36"/>
      <c r="G379" s="106"/>
      <c r="H379" s="266"/>
      <c r="I379" s="106"/>
      <c r="J379" s="106"/>
      <c r="K379" s="168"/>
      <c r="L379" s="106"/>
      <c r="M379" s="267"/>
      <c r="N379" s="260"/>
      <c r="O379" s="22"/>
      <c r="P379" s="268"/>
      <c r="Q379" s="35"/>
      <c r="R379" s="36"/>
      <c r="S379" s="150"/>
      <c r="T379" s="35"/>
      <c r="U379" s="36"/>
      <c r="V379" s="23"/>
      <c r="W379" s="23"/>
    </row>
    <row r="380" hidden="1" outlineLevel="2">
      <c r="A380" s="218"/>
      <c r="B380" s="218"/>
      <c r="C380" s="43"/>
      <c r="D380" s="12"/>
      <c r="E380" s="265"/>
      <c r="F380" s="36"/>
      <c r="G380" s="106"/>
      <c r="H380" s="266"/>
      <c r="I380" s="18"/>
      <c r="J380" s="18"/>
      <c r="K380" s="165"/>
      <c r="L380" s="18"/>
      <c r="M380" s="269"/>
      <c r="N380" s="260"/>
      <c r="O380" s="22"/>
      <c r="P380" s="268"/>
      <c r="Q380" s="35"/>
      <c r="R380" s="36"/>
      <c r="S380" s="150"/>
      <c r="T380" s="35"/>
      <c r="U380" s="36"/>
      <c r="V380" s="23"/>
      <c r="W380" s="23"/>
    </row>
    <row r="381" hidden="1" outlineLevel="2">
      <c r="A381" s="22"/>
      <c r="B381" s="22"/>
      <c r="C381" s="43"/>
      <c r="D381" s="12"/>
      <c r="E381" s="265"/>
      <c r="F381" s="36"/>
      <c r="G381" s="106"/>
      <c r="H381" s="266"/>
      <c r="I381" s="18"/>
      <c r="J381" s="18"/>
      <c r="K381" s="165"/>
      <c r="L381" s="18"/>
      <c r="M381" s="269"/>
      <c r="N381" s="260"/>
      <c r="O381" s="22"/>
      <c r="P381" s="150"/>
      <c r="Q381" s="35"/>
      <c r="R381" s="36"/>
      <c r="S381" s="150"/>
      <c r="T381" s="35"/>
      <c r="U381" s="36"/>
      <c r="V381" s="23"/>
      <c r="W381" s="23"/>
    </row>
    <row r="382" hidden="1" outlineLevel="2">
      <c r="A382" s="22"/>
      <c r="B382" s="22"/>
      <c r="C382" s="219"/>
      <c r="D382" s="12"/>
      <c r="E382" s="265"/>
      <c r="F382" s="36"/>
      <c r="G382" s="106"/>
      <c r="H382" s="270"/>
      <c r="I382" s="18"/>
      <c r="J382" s="18"/>
      <c r="K382" s="165"/>
      <c r="L382" s="18"/>
      <c r="M382" s="269"/>
      <c r="N382" s="260"/>
      <c r="O382" s="22"/>
      <c r="P382" s="150"/>
      <c r="Q382" s="35"/>
      <c r="R382" s="36"/>
      <c r="S382" s="150"/>
      <c r="T382" s="35"/>
      <c r="U382" s="36"/>
      <c r="V382" s="23"/>
      <c r="W382" s="23"/>
    </row>
    <row r="383" hidden="1" outlineLevel="2">
      <c r="A383" s="218"/>
      <c r="B383" s="218"/>
      <c r="C383" s="219"/>
      <c r="D383" s="12"/>
      <c r="E383" s="265"/>
      <c r="F383" s="36"/>
      <c r="G383" s="18"/>
      <c r="H383" s="270"/>
      <c r="I383" s="18"/>
      <c r="J383" s="18"/>
      <c r="K383" s="165"/>
      <c r="L383" s="18"/>
      <c r="M383" s="269"/>
      <c r="N383" s="260"/>
      <c r="O383" s="22"/>
      <c r="P383" s="150"/>
      <c r="Q383" s="35"/>
      <c r="R383" s="36"/>
      <c r="S383" s="150"/>
      <c r="T383" s="35"/>
      <c r="U383" s="36"/>
      <c r="V383" s="23"/>
      <c r="W383" s="23"/>
    </row>
    <row r="384" hidden="1" outlineLevel="2">
      <c r="A384" s="218"/>
      <c r="B384" s="218"/>
      <c r="C384" s="219"/>
      <c r="D384" s="12"/>
      <c r="E384" s="265"/>
      <c r="F384" s="36"/>
      <c r="G384" s="18"/>
      <c r="H384" s="270"/>
      <c r="I384" s="18"/>
      <c r="J384" s="18"/>
      <c r="K384" s="165"/>
      <c r="L384" s="18"/>
      <c r="M384" s="269"/>
      <c r="N384" s="260"/>
      <c r="O384" s="22"/>
      <c r="P384" s="150"/>
      <c r="Q384" s="35"/>
      <c r="R384" s="36"/>
      <c r="S384" s="150"/>
      <c r="T384" s="35"/>
      <c r="U384" s="36"/>
      <c r="V384" s="23"/>
      <c r="W384" s="23"/>
    </row>
    <row r="385" hidden="1" outlineLevel="2">
      <c r="A385" s="218"/>
      <c r="B385" s="218"/>
      <c r="C385" s="219"/>
      <c r="D385" s="12"/>
      <c r="E385" s="265"/>
      <c r="F385" s="36"/>
      <c r="G385" s="18"/>
      <c r="H385" s="270"/>
      <c r="I385" s="18"/>
      <c r="J385" s="18"/>
      <c r="K385" s="165"/>
      <c r="L385" s="18"/>
      <c r="M385" s="269"/>
      <c r="N385" s="260"/>
      <c r="O385" s="22"/>
      <c r="P385" s="150"/>
      <c r="Q385" s="35"/>
      <c r="R385" s="36"/>
      <c r="S385" s="150"/>
      <c r="T385" s="35"/>
      <c r="U385" s="36"/>
      <c r="V385" s="23"/>
      <c r="W385" s="23"/>
    </row>
    <row r="386" hidden="1" outlineLevel="2">
      <c r="A386" s="218"/>
      <c r="B386" s="218"/>
      <c r="C386" s="219"/>
      <c r="D386" s="271"/>
      <c r="E386" s="272"/>
      <c r="F386" s="273"/>
      <c r="G386" s="274"/>
      <c r="H386" s="275"/>
      <c r="I386" s="274"/>
      <c r="J386" s="274"/>
      <c r="K386" s="276"/>
      <c r="L386" s="274"/>
      <c r="M386" s="277"/>
      <c r="N386" s="260"/>
      <c r="O386" s="22"/>
      <c r="P386" s="150"/>
      <c r="Q386" s="35"/>
      <c r="R386" s="36"/>
      <c r="S386" s="150"/>
      <c r="T386" s="35"/>
      <c r="U386" s="36"/>
      <c r="V386" s="23"/>
      <c r="W386" s="23"/>
    </row>
    <row r="387" collapsed="1">
      <c r="A387" s="146" t="s">
        <v>325</v>
      </c>
      <c r="B387" s="146"/>
      <c r="C387" s="147"/>
      <c r="D387" s="278"/>
      <c r="E387" s="148" t="s">
        <v>239</v>
      </c>
      <c r="F387" s="35"/>
      <c r="G387" s="35"/>
      <c r="H387" s="35"/>
      <c r="I387" s="35"/>
      <c r="J387" s="35"/>
      <c r="K387" s="35"/>
      <c r="L387" s="35"/>
      <c r="M387" s="36"/>
      <c r="N387" s="278"/>
      <c r="O387" s="22"/>
      <c r="P387" s="150"/>
      <c r="Q387" s="35"/>
      <c r="R387" s="36"/>
      <c r="S387" s="150"/>
      <c r="T387" s="35"/>
      <c r="U387" s="36"/>
      <c r="V387" s="23"/>
      <c r="W387" s="23"/>
    </row>
    <row r="388" hidden="1" outlineLevel="1">
      <c r="A388" s="22"/>
      <c r="B388" s="22"/>
      <c r="C388" s="43"/>
      <c r="D388" s="278"/>
      <c r="E388" s="279" t="s">
        <v>326</v>
      </c>
      <c r="F388" s="35"/>
      <c r="G388" s="35"/>
      <c r="H388" s="35"/>
      <c r="I388" s="153"/>
      <c r="J388" s="280" t="s">
        <v>241</v>
      </c>
      <c r="K388" s="35"/>
      <c r="L388" s="36"/>
      <c r="M388" s="266"/>
      <c r="N388" s="281"/>
      <c r="O388" s="22"/>
      <c r="P388" s="150"/>
      <c r="Q388" s="35"/>
      <c r="R388" s="36"/>
      <c r="S388" s="150"/>
      <c r="T388" s="35"/>
      <c r="U388" s="36"/>
      <c r="V388" s="23"/>
      <c r="W388" s="23"/>
    </row>
    <row r="389" hidden="1" outlineLevel="1">
      <c r="A389" s="22"/>
      <c r="B389" s="22"/>
      <c r="C389" s="22"/>
      <c r="D389" s="281"/>
      <c r="E389" s="279" t="s">
        <v>327</v>
      </c>
      <c r="F389" s="35"/>
      <c r="G389" s="35"/>
      <c r="H389" s="35"/>
      <c r="I389" s="35"/>
      <c r="J389" s="282"/>
      <c r="K389" s="283" t="s">
        <v>243</v>
      </c>
      <c r="L389" s="36"/>
      <c r="M389" s="266"/>
      <c r="N389" s="22"/>
      <c r="O389" s="22"/>
      <c r="P389" s="150"/>
      <c r="Q389" s="35"/>
      <c r="R389" s="36"/>
      <c r="S389" s="150"/>
      <c r="T389" s="35"/>
      <c r="U389" s="36"/>
      <c r="V389" s="23"/>
      <c r="W389" s="23"/>
    </row>
    <row r="390" hidden="1" outlineLevel="1">
      <c r="A390" s="22"/>
      <c r="B390" s="22"/>
      <c r="C390" s="22"/>
      <c r="D390" s="22"/>
      <c r="E390" s="279" t="s">
        <v>328</v>
      </c>
      <c r="F390" s="35"/>
      <c r="G390" s="35"/>
      <c r="H390" s="35"/>
      <c r="I390" s="282"/>
      <c r="J390" s="283" t="s">
        <v>245</v>
      </c>
      <c r="K390" s="35"/>
      <c r="L390" s="36"/>
      <c r="M390" s="266"/>
      <c r="N390" s="22"/>
      <c r="O390" s="22"/>
      <c r="P390" s="150"/>
      <c r="Q390" s="35"/>
      <c r="R390" s="36"/>
      <c r="S390" s="150"/>
      <c r="T390" s="35"/>
      <c r="U390" s="36"/>
      <c r="V390" s="23"/>
      <c r="W390" s="23"/>
    </row>
    <row r="391" hidden="1" outlineLevel="1">
      <c r="A391" s="22"/>
      <c r="B391" s="22"/>
      <c r="C391" s="22"/>
      <c r="D391" s="22"/>
      <c r="E391" s="279" t="s">
        <v>329</v>
      </c>
      <c r="F391" s="284"/>
      <c r="G391" s="285"/>
      <c r="H391" s="286" t="s">
        <v>247</v>
      </c>
      <c r="I391" s="35"/>
      <c r="J391" s="153"/>
      <c r="K391" s="287" t="s">
        <v>330</v>
      </c>
      <c r="L391" s="36"/>
      <c r="M391" s="289"/>
      <c r="N391" s="22"/>
      <c r="O391" s="22"/>
      <c r="P391" s="268"/>
      <c r="Q391" s="35"/>
      <c r="R391" s="36"/>
      <c r="S391" s="150"/>
      <c r="T391" s="35"/>
      <c r="U391" s="36"/>
      <c r="V391" s="23"/>
      <c r="W391" s="23"/>
    </row>
    <row r="392" hidden="1" outlineLevel="1">
      <c r="A392" s="22"/>
      <c r="B392" s="22"/>
      <c r="C392" s="22"/>
      <c r="D392" s="22"/>
      <c r="E392" s="279" t="s">
        <v>331</v>
      </c>
      <c r="F392" s="35"/>
      <c r="G392" s="153"/>
      <c r="H392" s="286" t="s">
        <v>250</v>
      </c>
      <c r="I392" s="35"/>
      <c r="J392" s="153"/>
      <c r="K392" s="287" t="s">
        <v>332</v>
      </c>
      <c r="L392" s="36"/>
      <c r="M392" s="289"/>
      <c r="N392" s="22"/>
      <c r="O392" s="22"/>
      <c r="P392" s="268"/>
      <c r="Q392" s="35"/>
      <c r="R392" s="36"/>
      <c r="S392" s="150"/>
      <c r="T392" s="35"/>
      <c r="U392" s="36"/>
      <c r="V392" s="23"/>
      <c r="W392" s="23"/>
    </row>
    <row r="393" hidden="1" outlineLevel="1">
      <c r="A393" s="22"/>
      <c r="B393" s="22"/>
      <c r="C393" s="22"/>
      <c r="D393" s="22"/>
      <c r="E393" s="290" t="s">
        <v>252</v>
      </c>
      <c r="F393" s="10"/>
      <c r="G393" s="10"/>
      <c r="H393" s="10"/>
      <c r="I393" s="10"/>
      <c r="J393" s="10"/>
      <c r="K393" s="10"/>
      <c r="L393" s="10"/>
      <c r="M393" s="11"/>
      <c r="N393" s="22"/>
      <c r="O393" s="22"/>
      <c r="P393" s="150"/>
      <c r="Q393" s="35"/>
      <c r="R393" s="36"/>
      <c r="S393" s="150"/>
      <c r="T393" s="35"/>
      <c r="U393" s="36"/>
      <c r="V393" s="23"/>
      <c r="W393" s="23"/>
    </row>
    <row r="394" hidden="1" outlineLevel="1">
      <c r="A394" s="22"/>
      <c r="B394" s="22"/>
      <c r="C394" s="22"/>
      <c r="D394" s="22"/>
      <c r="E394" s="291" t="s">
        <v>333</v>
      </c>
      <c r="F394" s="292"/>
      <c r="G394" s="292"/>
      <c r="H394" s="292"/>
      <c r="I394" s="286" t="s">
        <v>254</v>
      </c>
      <c r="J394" s="35"/>
      <c r="K394" s="35"/>
      <c r="L394" s="36"/>
      <c r="M394" s="106"/>
      <c r="N394" s="22"/>
      <c r="O394" s="22"/>
      <c r="P394" s="268"/>
      <c r="Q394" s="35"/>
      <c r="R394" s="36"/>
      <c r="S394" s="150"/>
      <c r="T394" s="35"/>
      <c r="U394" s="36"/>
      <c r="V394" s="23"/>
      <c r="W394" s="23"/>
    </row>
    <row r="395" hidden="1" outlineLevel="1">
      <c r="A395" s="22"/>
      <c r="B395" s="22"/>
      <c r="C395" s="22"/>
      <c r="D395" s="22"/>
      <c r="E395" s="293" t="s">
        <v>255</v>
      </c>
      <c r="F395" s="35"/>
      <c r="G395" s="35"/>
      <c r="H395" s="35"/>
      <c r="I395" s="35"/>
      <c r="J395" s="35"/>
      <c r="K395" s="35"/>
      <c r="L395" s="36"/>
      <c r="M395" s="266"/>
      <c r="N395" s="22"/>
      <c r="O395" s="22"/>
      <c r="P395" s="150"/>
      <c r="Q395" s="35"/>
      <c r="R395" s="36"/>
      <c r="S395" s="150"/>
      <c r="T395" s="35"/>
      <c r="U395" s="36"/>
      <c r="V395" s="23"/>
      <c r="W395" s="23"/>
    </row>
    <row r="396" hidden="1" outlineLevel="1">
      <c r="A396" s="22"/>
      <c r="B396" s="22"/>
      <c r="C396" s="22"/>
      <c r="D396" s="22"/>
      <c r="E396" s="294" t="s">
        <v>256</v>
      </c>
      <c r="F396" s="35"/>
      <c r="G396" s="35"/>
      <c r="H396" s="35"/>
      <c r="I396" s="35"/>
      <c r="J396" s="35"/>
      <c r="K396" s="35"/>
      <c r="L396" s="35"/>
      <c r="M396" s="36"/>
      <c r="N396" s="22"/>
      <c r="O396" s="22"/>
      <c r="P396" s="150"/>
      <c r="Q396" s="35"/>
      <c r="R396" s="36"/>
      <c r="S396" s="150"/>
      <c r="T396" s="35"/>
      <c r="U396" s="36"/>
      <c r="V396" s="23"/>
      <c r="W396" s="23"/>
    </row>
    <row r="397" hidden="1" outlineLevel="1">
      <c r="A397" s="22"/>
      <c r="B397" s="22"/>
      <c r="C397" s="22"/>
      <c r="D397" s="22"/>
      <c r="E397" s="295"/>
      <c r="F397" s="10"/>
      <c r="G397" s="10"/>
      <c r="H397" s="10"/>
      <c r="I397" s="10"/>
      <c r="J397" s="10"/>
      <c r="K397" s="10"/>
      <c r="L397" s="10"/>
      <c r="M397" s="11"/>
      <c r="N397" s="22"/>
      <c r="O397" s="22"/>
      <c r="P397" s="150"/>
      <c r="Q397" s="35"/>
      <c r="R397" s="36"/>
      <c r="S397" s="150"/>
      <c r="T397" s="35"/>
      <c r="U397" s="36"/>
      <c r="V397" s="23"/>
      <c r="W397" s="23"/>
    </row>
    <row r="398" hidden="1" outlineLevel="1">
      <c r="A398" s="22"/>
      <c r="B398" s="22"/>
      <c r="C398" s="22"/>
      <c r="D398" s="22"/>
      <c r="E398" s="14"/>
      <c r="F398" s="15"/>
      <c r="G398" s="15"/>
      <c r="H398" s="15"/>
      <c r="I398" s="15"/>
      <c r="J398" s="15"/>
      <c r="K398" s="15"/>
      <c r="L398" s="15"/>
      <c r="M398" s="16"/>
      <c r="N398" s="22"/>
      <c r="O398" s="22"/>
      <c r="P398" s="150"/>
      <c r="Q398" s="35"/>
      <c r="R398" s="36"/>
      <c r="S398" s="150"/>
      <c r="T398" s="35"/>
      <c r="U398" s="36"/>
      <c r="V398" s="23"/>
      <c r="W398" s="23"/>
    </row>
    <row r="399" hidden="1" outlineLevel="1">
      <c r="A399" s="22"/>
      <c r="B399" s="22"/>
      <c r="C399" s="22"/>
      <c r="D399" s="22"/>
      <c r="E399" s="291" t="s">
        <v>334</v>
      </c>
      <c r="F399" s="292"/>
      <c r="G399" s="296"/>
      <c r="H399" s="280" t="s">
        <v>258</v>
      </c>
      <c r="I399" s="35"/>
      <c r="J399" s="35"/>
      <c r="K399" s="35"/>
      <c r="L399" s="35"/>
      <c r="M399" s="106"/>
      <c r="N399" s="22"/>
      <c r="O399" s="22"/>
      <c r="P399" s="150"/>
      <c r="Q399" s="35"/>
      <c r="R399" s="36"/>
      <c r="S399" s="150"/>
      <c r="T399" s="35"/>
      <c r="U399" s="36"/>
      <c r="V399" s="23"/>
      <c r="W399" s="23"/>
    </row>
    <row r="400" hidden="1" outlineLevel="1">
      <c r="A400" s="22"/>
      <c r="B400" s="22"/>
      <c r="C400" s="22"/>
      <c r="D400" s="22"/>
      <c r="E400" s="291" t="s">
        <v>335</v>
      </c>
      <c r="F400" s="296"/>
      <c r="G400" s="280" t="s">
        <v>260</v>
      </c>
      <c r="H400" s="35"/>
      <c r="I400" s="35"/>
      <c r="J400" s="35"/>
      <c r="K400" s="35"/>
      <c r="L400" s="35"/>
      <c r="M400" s="106"/>
      <c r="N400" s="22"/>
      <c r="O400" s="22"/>
      <c r="P400" s="150"/>
      <c r="Q400" s="35"/>
      <c r="R400" s="36"/>
      <c r="S400" s="150"/>
      <c r="T400" s="35"/>
      <c r="U400" s="36"/>
      <c r="V400" s="23"/>
      <c r="W400" s="23"/>
    </row>
    <row r="401" hidden="1" outlineLevel="1">
      <c r="A401" s="297"/>
      <c r="B401" s="297"/>
      <c r="C401" s="43"/>
      <c r="D401" s="43"/>
      <c r="E401" s="298" t="s">
        <v>261</v>
      </c>
      <c r="F401" s="35"/>
      <c r="G401" s="35"/>
      <c r="H401" s="35"/>
      <c r="I401" s="35"/>
      <c r="J401" s="35"/>
      <c r="K401" s="35"/>
      <c r="L401" s="35"/>
      <c r="M401" s="36"/>
      <c r="N401" s="297"/>
      <c r="O401" s="297"/>
      <c r="P401" s="46"/>
      <c r="Q401" s="35"/>
      <c r="R401" s="36"/>
      <c r="S401" s="46"/>
      <c r="T401" s="35"/>
      <c r="U401" s="36"/>
      <c r="V401" s="299"/>
      <c r="W401" s="299"/>
    </row>
    <row r="402" hidden="1" outlineLevel="1">
      <c r="A402" s="297"/>
      <c r="B402" s="297"/>
      <c r="C402" s="43"/>
      <c r="D402" s="43"/>
      <c r="E402" s="298" t="s">
        <v>262</v>
      </c>
      <c r="F402" s="35"/>
      <c r="G402" s="35"/>
      <c r="H402" s="35"/>
      <c r="I402" s="35"/>
      <c r="J402" s="35"/>
      <c r="K402" s="35"/>
      <c r="L402" s="35"/>
      <c r="M402" s="36"/>
      <c r="N402" s="297"/>
      <c r="O402" s="297"/>
      <c r="P402" s="46"/>
      <c r="Q402" s="35"/>
      <c r="R402" s="36"/>
      <c r="S402" s="46"/>
      <c r="T402" s="35"/>
      <c r="U402" s="36"/>
      <c r="V402" s="299"/>
      <c r="W402" s="299"/>
    </row>
    <row r="403">
      <c r="A403" s="306"/>
      <c r="B403" s="297"/>
      <c r="C403" s="297"/>
      <c r="D403" s="297"/>
      <c r="E403" s="297"/>
      <c r="F403" s="297"/>
      <c r="G403" s="297"/>
      <c r="H403" s="297"/>
      <c r="I403" s="297"/>
      <c r="J403" s="297"/>
      <c r="K403" s="297"/>
      <c r="L403" s="297"/>
      <c r="M403" s="297"/>
      <c r="N403" s="297"/>
      <c r="O403" s="297"/>
      <c r="P403" s="297"/>
      <c r="Q403" s="297"/>
      <c r="R403" s="297"/>
      <c r="S403" s="297"/>
      <c r="T403" s="297"/>
      <c r="U403" s="297"/>
      <c r="V403" s="297"/>
      <c r="W403" s="299"/>
    </row>
    <row r="404">
      <c r="A404" s="301"/>
      <c r="B404" s="301"/>
      <c r="C404" s="301"/>
      <c r="D404" s="301"/>
      <c r="E404" s="301"/>
      <c r="F404" s="301"/>
      <c r="G404" s="301"/>
      <c r="H404" s="301"/>
      <c r="I404" s="301"/>
      <c r="J404" s="301"/>
      <c r="K404" s="301"/>
      <c r="L404" s="301"/>
      <c r="M404" s="301"/>
      <c r="N404" s="301"/>
      <c r="O404" s="301"/>
      <c r="P404" s="301"/>
      <c r="Q404" s="301"/>
      <c r="R404" s="301"/>
      <c r="S404" s="301"/>
      <c r="T404" s="301"/>
      <c r="U404" s="301"/>
      <c r="V404" s="301"/>
      <c r="W404" s="301"/>
    </row>
    <row r="405">
      <c r="A405" s="307"/>
      <c r="B405" s="307"/>
      <c r="C405" s="307"/>
      <c r="D405" s="307"/>
      <c r="E405" s="307"/>
      <c r="F405" s="307"/>
      <c r="G405" s="307"/>
      <c r="H405" s="307"/>
      <c r="I405" s="307"/>
      <c r="J405" s="307"/>
      <c r="K405" s="307"/>
      <c r="L405" s="307"/>
      <c r="M405" s="307"/>
      <c r="N405" s="307"/>
      <c r="O405" s="307"/>
      <c r="P405" s="307"/>
      <c r="Q405" s="307"/>
      <c r="R405" s="307"/>
      <c r="S405" s="307"/>
      <c r="T405" s="307"/>
      <c r="U405" s="308"/>
      <c r="V405" s="308"/>
      <c r="W405" s="308"/>
    </row>
    <row r="406">
      <c r="A406" s="22"/>
      <c r="B406" s="22"/>
      <c r="C406" s="22"/>
      <c r="D406" s="22"/>
      <c r="E406" s="22"/>
      <c r="F406" s="22"/>
      <c r="G406" s="22"/>
      <c r="H406" s="22"/>
      <c r="I406" s="22"/>
      <c r="J406" s="22"/>
      <c r="K406" s="22"/>
      <c r="L406" s="22"/>
      <c r="M406" s="22"/>
      <c r="N406" s="22"/>
      <c r="O406" s="22"/>
      <c r="P406" s="22"/>
      <c r="Q406" s="22"/>
      <c r="R406" s="22"/>
      <c r="S406" s="22"/>
      <c r="T406" s="22"/>
      <c r="U406" s="23"/>
      <c r="V406" s="23"/>
      <c r="W406" s="23"/>
    </row>
    <row r="407">
      <c r="A407" s="22"/>
      <c r="B407" s="22"/>
      <c r="C407" s="22"/>
      <c r="D407" s="22"/>
      <c r="E407" s="26" t="s">
        <v>336</v>
      </c>
      <c r="F407" s="22"/>
      <c r="G407" s="22"/>
      <c r="H407" s="22"/>
      <c r="I407" s="22"/>
      <c r="J407" s="22"/>
      <c r="K407" s="22"/>
      <c r="L407" s="22"/>
      <c r="M407" s="22"/>
      <c r="N407" s="22"/>
      <c r="O407" s="22"/>
      <c r="P407" s="22"/>
      <c r="Q407" s="22"/>
      <c r="R407" s="22"/>
      <c r="S407" s="22"/>
      <c r="T407" s="22"/>
      <c r="U407" s="23"/>
      <c r="V407" s="23"/>
      <c r="W407" s="23"/>
    </row>
    <row r="408">
      <c r="A408" s="22"/>
      <c r="B408" s="22"/>
      <c r="C408" s="22"/>
      <c r="D408" s="22"/>
      <c r="E408" s="26" t="s">
        <v>264</v>
      </c>
      <c r="F408" s="22"/>
      <c r="G408" s="22"/>
      <c r="H408" s="22"/>
      <c r="I408" s="22"/>
      <c r="J408" s="22"/>
      <c r="K408" s="22"/>
      <c r="L408" s="22"/>
      <c r="M408" s="22"/>
      <c r="N408" s="22"/>
      <c r="O408" s="22"/>
      <c r="P408" s="22"/>
      <c r="Q408" s="22"/>
      <c r="R408" s="22"/>
      <c r="S408" s="22"/>
      <c r="T408" s="22"/>
      <c r="U408" s="23"/>
      <c r="V408" s="23"/>
      <c r="W408" s="23"/>
    </row>
    <row r="409">
      <c r="A409" s="22"/>
      <c r="B409" s="22"/>
      <c r="C409" s="22"/>
      <c r="D409" s="22"/>
      <c r="E409" s="22"/>
      <c r="F409" s="22"/>
      <c r="G409" s="22"/>
      <c r="H409" s="22"/>
      <c r="I409" s="22"/>
      <c r="J409" s="22"/>
      <c r="K409" s="22"/>
      <c r="L409" s="22"/>
      <c r="M409" s="22"/>
      <c r="N409" s="22"/>
      <c r="O409" s="22"/>
      <c r="P409" s="22"/>
      <c r="Q409" s="22"/>
      <c r="R409" s="22"/>
      <c r="S409" s="22"/>
      <c r="T409" s="22"/>
      <c r="U409" s="23"/>
      <c r="V409" s="23"/>
      <c r="W409" s="23"/>
    </row>
    <row r="410">
      <c r="A410" s="22"/>
      <c r="B410" s="22"/>
      <c r="C410" s="22"/>
      <c r="D410" s="22"/>
      <c r="E410" s="22"/>
      <c r="F410" s="22"/>
      <c r="G410" s="22"/>
      <c r="H410" s="22"/>
      <c r="I410" s="22"/>
      <c r="J410" s="22"/>
      <c r="K410" s="22"/>
      <c r="L410" s="22"/>
      <c r="M410" s="22"/>
      <c r="N410" s="22"/>
      <c r="O410" s="22"/>
      <c r="P410" s="22"/>
      <c r="Q410" s="22"/>
      <c r="R410" s="22"/>
      <c r="S410" s="22"/>
      <c r="T410" s="22"/>
      <c r="U410" s="23"/>
      <c r="V410" s="23"/>
      <c r="W410" s="23"/>
    </row>
    <row r="411">
      <c r="A411" s="22"/>
      <c r="B411" s="22"/>
      <c r="C411" s="22"/>
      <c r="D411" s="22"/>
      <c r="E411" s="144" t="s">
        <v>337</v>
      </c>
      <c r="F411" s="10"/>
      <c r="G411" s="10"/>
      <c r="H411" s="10"/>
      <c r="I411" s="11"/>
      <c r="J411" s="22"/>
      <c r="K411" s="22"/>
      <c r="L411" s="22"/>
      <c r="M411" s="22"/>
      <c r="N411" s="22"/>
      <c r="O411" s="22"/>
      <c r="P411" s="22"/>
      <c r="Q411" s="22"/>
      <c r="R411" s="22"/>
      <c r="S411" s="22"/>
      <c r="T411" s="22"/>
      <c r="U411" s="23"/>
      <c r="V411" s="23"/>
      <c r="W411" s="23"/>
    </row>
    <row r="412" ht="15.75" customHeight="1">
      <c r="A412" s="22"/>
      <c r="B412" s="22"/>
      <c r="C412" s="22"/>
      <c r="D412" s="22"/>
      <c r="E412" s="14"/>
      <c r="F412" s="15"/>
      <c r="G412" s="15"/>
      <c r="H412" s="15"/>
      <c r="I412" s="16"/>
      <c r="J412" s="22"/>
      <c r="K412" s="22"/>
      <c r="L412" s="22"/>
      <c r="M412" s="22"/>
      <c r="N412" s="22"/>
      <c r="O412" s="22"/>
      <c r="P412" s="22"/>
      <c r="Q412" s="22"/>
      <c r="R412" s="22"/>
      <c r="S412" s="22"/>
      <c r="T412" s="22"/>
      <c r="U412" s="23"/>
      <c r="V412" s="23"/>
      <c r="W412" s="23"/>
    </row>
    <row r="413">
      <c r="A413" s="22"/>
      <c r="B413" s="22"/>
      <c r="C413" s="22"/>
      <c r="D413" s="22"/>
      <c r="E413" s="22"/>
      <c r="F413" s="22"/>
      <c r="G413" s="22"/>
      <c r="H413" s="22"/>
      <c r="I413" s="22"/>
      <c r="J413" s="22"/>
      <c r="K413" s="22"/>
      <c r="L413" s="22"/>
      <c r="M413" s="22"/>
      <c r="N413" s="22"/>
      <c r="O413" s="22"/>
      <c r="P413" s="145" t="s">
        <v>161</v>
      </c>
      <c r="Q413" s="35"/>
      <c r="R413" s="36"/>
      <c r="S413" s="145" t="s">
        <v>162</v>
      </c>
      <c r="T413" s="35"/>
      <c r="U413" s="36"/>
      <c r="W413" s="23"/>
    </row>
    <row r="414" collapsed="1">
      <c r="A414" s="146" t="s">
        <v>338</v>
      </c>
      <c r="B414" s="146"/>
      <c r="C414" s="147"/>
      <c r="D414" s="278"/>
      <c r="E414" s="148" t="s">
        <v>164</v>
      </c>
      <c r="F414" s="35"/>
      <c r="G414" s="35"/>
      <c r="H414" s="36"/>
      <c r="I414" s="302"/>
      <c r="J414" s="35"/>
      <c r="K414" s="35"/>
      <c r="L414" s="35"/>
      <c r="M414" s="36"/>
      <c r="N414" s="22"/>
      <c r="O414" s="22"/>
      <c r="P414" s="150"/>
      <c r="Q414" s="35"/>
      <c r="R414" s="36"/>
      <c r="S414" s="150"/>
      <c r="T414" s="35"/>
      <c r="U414" s="36"/>
      <c r="V414" s="23"/>
      <c r="W414" s="151"/>
    </row>
    <row r="415" hidden="1" outlineLevel="1">
      <c r="A415" s="22"/>
      <c r="B415" s="22"/>
      <c r="C415" s="22"/>
      <c r="D415" s="22"/>
      <c r="E415" s="152" t="s">
        <v>165</v>
      </c>
      <c r="F415" s="35"/>
      <c r="G415" s="35"/>
      <c r="H415" s="35"/>
      <c r="I415" s="153"/>
      <c r="J415" s="154" t="s">
        <v>166</v>
      </c>
      <c r="K415" s="36"/>
      <c r="L415" s="155"/>
      <c r="M415" s="36"/>
      <c r="N415" s="22"/>
      <c r="O415" s="22"/>
      <c r="P415" s="150"/>
      <c r="Q415" s="35"/>
      <c r="R415" s="36"/>
      <c r="S415" s="150"/>
      <c r="T415" s="35"/>
      <c r="U415" s="36"/>
      <c r="V415" s="23"/>
      <c r="W415" s="23"/>
    </row>
    <row r="416" hidden="1" outlineLevel="1">
      <c r="A416" s="45"/>
      <c r="B416" s="43"/>
      <c r="C416" s="43"/>
      <c r="D416" s="43"/>
      <c r="E416" s="303" t="s">
        <v>339</v>
      </c>
      <c r="F416" s="157"/>
      <c r="G416" s="157"/>
      <c r="H416" s="157"/>
      <c r="I416" s="157"/>
      <c r="J416" s="157"/>
      <c r="K416" s="157"/>
      <c r="L416" s="157"/>
      <c r="M416" s="158"/>
      <c r="N416" s="43"/>
      <c r="O416" s="43"/>
      <c r="P416" s="150"/>
      <c r="Q416" s="35"/>
      <c r="R416" s="36"/>
      <c r="S416" s="150"/>
      <c r="T416" s="35"/>
      <c r="U416" s="36"/>
      <c r="V416" s="23"/>
      <c r="W416" s="23"/>
    </row>
    <row r="417" collapsed="1">
      <c r="A417" s="146" t="s">
        <v>340</v>
      </c>
      <c r="B417" s="146"/>
      <c r="C417" s="147"/>
      <c r="D417" s="278"/>
      <c r="E417" s="148" t="s">
        <v>169</v>
      </c>
      <c r="F417" s="35"/>
      <c r="G417" s="35"/>
      <c r="H417" s="35"/>
      <c r="I417" s="35"/>
      <c r="J417" s="35"/>
      <c r="K417" s="35"/>
      <c r="L417" s="159" t="s">
        <v>170</v>
      </c>
      <c r="M417" s="160" t="s">
        <v>171</v>
      </c>
      <c r="N417" s="22"/>
      <c r="O417" s="22"/>
      <c r="P417" s="161"/>
      <c r="Q417" s="35"/>
      <c r="R417" s="36"/>
      <c r="S417" s="150"/>
      <c r="T417" s="35"/>
      <c r="U417" s="36"/>
      <c r="V417" s="23"/>
      <c r="W417" s="23"/>
    </row>
    <row r="418" hidden="1" outlineLevel="1">
      <c r="A418" s="22"/>
      <c r="B418" s="22"/>
      <c r="C418" s="22"/>
      <c r="D418" s="22"/>
      <c r="E418" s="162" t="s">
        <v>172</v>
      </c>
      <c r="F418" s="128"/>
      <c r="G418" s="128"/>
      <c r="H418" s="128"/>
      <c r="I418" s="128"/>
      <c r="J418" s="128"/>
      <c r="K418" s="163"/>
      <c r="L418" s="164" t="str">
        <f>IF(OR(L415="Federal Mobility Budget", L415="Commute", L415="professional travel"), "Yes", IF(L415="EV Charging &amp; Fuel", "No", ""))</f>
        <v/>
      </c>
      <c r="M418" s="165" t="str">
        <f>L418</f>
        <v/>
      </c>
      <c r="N418" s="22"/>
      <c r="O418" s="22"/>
      <c r="P418" s="161"/>
      <c r="Q418" s="35"/>
      <c r="R418" s="36"/>
      <c r="S418" s="150"/>
      <c r="T418" s="35"/>
      <c r="U418" s="36"/>
      <c r="V418" s="23"/>
      <c r="W418" s="23"/>
    </row>
    <row r="419" hidden="1" outlineLevel="1">
      <c r="A419" s="22"/>
      <c r="B419" s="22"/>
      <c r="C419" s="22"/>
      <c r="D419" s="22"/>
      <c r="E419" s="152" t="s">
        <v>173</v>
      </c>
      <c r="F419" s="131"/>
      <c r="G419" s="131"/>
      <c r="H419" s="131"/>
      <c r="I419" s="131"/>
      <c r="J419" s="131"/>
      <c r="K419" s="166"/>
      <c r="L419" s="167" t="str">
        <f>IF(L415="Commute","Often",IF(L415="Federal Mobility Budget","Often",IF(OR(L415="Professional Travel",L415="EV Charging &amp; Fuel"),"No",L415)))</f>
        <v/>
      </c>
      <c r="M419" s="165"/>
      <c r="N419" s="22"/>
      <c r="O419" s="22"/>
      <c r="P419" s="169"/>
      <c r="Q419" s="35"/>
      <c r="R419" s="36"/>
      <c r="S419" s="150"/>
      <c r="T419" s="35"/>
      <c r="U419" s="36"/>
      <c r="V419" s="23"/>
      <c r="W419" s="23"/>
    </row>
    <row r="420" hidden="1" outlineLevel="1">
      <c r="A420" s="22"/>
      <c r="B420" s="22"/>
      <c r="C420" s="22"/>
      <c r="D420" s="22"/>
      <c r="E420" s="162" t="s">
        <v>174</v>
      </c>
      <c r="F420" s="128"/>
      <c r="G420" s="128"/>
      <c r="H420" s="128"/>
      <c r="I420" s="128"/>
      <c r="J420" s="128"/>
      <c r="K420" s="163"/>
      <c r="L420" s="170" t="str">
        <f>IF(OR(L415="Federal Mobility Budget"), "Yes", IF(OR(L415="professional travel", L415="EV Charging &amp; Fuel", L415="Commute"), "No", ""))</f>
        <v/>
      </c>
      <c r="M420" s="165" t="str">
        <f>L420</f>
        <v/>
      </c>
      <c r="N420" s="22"/>
      <c r="O420" s="22"/>
      <c r="P420" s="161"/>
      <c r="Q420" s="35"/>
      <c r="R420" s="36"/>
      <c r="S420" s="150"/>
      <c r="T420" s="35"/>
      <c r="U420" s="36"/>
      <c r="V420" s="23"/>
      <c r="W420" s="23"/>
    </row>
    <row r="421" hidden="1" outlineLevel="1">
      <c r="A421" s="22"/>
      <c r="B421" s="22"/>
      <c r="C421" s="22"/>
      <c r="D421" s="22"/>
      <c r="E421" s="152" t="s">
        <v>175</v>
      </c>
      <c r="F421" s="131"/>
      <c r="G421" s="131"/>
      <c r="H421" s="131"/>
      <c r="I421" s="131"/>
      <c r="J421" s="131"/>
      <c r="K421" s="166"/>
      <c r="L421" s="171" t="str">
        <f>IF(L415="Commute","Often",IF(L415="Federal Mobility Budget","Yes",IF(OR(L415="EV Charging &amp; Fuel",L415="professional travel"),"No","")))
</f>
        <v/>
      </c>
      <c r="M421" s="165"/>
      <c r="N421" s="22"/>
      <c r="O421" s="22"/>
      <c r="P421" s="169"/>
      <c r="Q421" s="35"/>
      <c r="R421" s="36"/>
      <c r="S421" s="150"/>
      <c r="T421" s="35"/>
      <c r="U421" s="36"/>
      <c r="V421" s="23"/>
      <c r="W421" s="23"/>
    </row>
    <row r="422" hidden="1" outlineLevel="1">
      <c r="A422" s="22"/>
      <c r="B422" s="22"/>
      <c r="C422" s="22"/>
      <c r="D422" s="22"/>
      <c r="E422" s="162" t="s">
        <v>176</v>
      </c>
      <c r="F422" s="128"/>
      <c r="G422" s="128"/>
      <c r="H422" s="128"/>
      <c r="I422" s="128"/>
      <c r="J422" s="128"/>
      <c r="K422" s="163"/>
      <c r="L422" s="170" t="str">
        <f>IF(OR(L415="Federal Mobility Budget"), "Yes", IF(OR(L415="professional travel", L415="EV Charging &amp; Fuel", L415="Commute"), "No", ""))</f>
        <v/>
      </c>
      <c r="M422" s="165" t="str">
        <f>L422</f>
        <v/>
      </c>
      <c r="N422" s="22"/>
      <c r="O422" s="22"/>
      <c r="P422" s="161"/>
      <c r="Q422" s="35"/>
      <c r="R422" s="36"/>
      <c r="S422" s="150"/>
      <c r="T422" s="35"/>
      <c r="U422" s="36"/>
      <c r="V422" s="23"/>
      <c r="W422" s="23"/>
    </row>
    <row r="423" hidden="1" outlineLevel="1">
      <c r="A423" s="22"/>
      <c r="B423" s="22"/>
      <c r="C423" s="22"/>
      <c r="D423" s="22"/>
      <c r="E423" s="152" t="s">
        <v>177</v>
      </c>
      <c r="F423" s="131"/>
      <c r="G423" s="131"/>
      <c r="H423" s="131"/>
      <c r="I423" s="131"/>
      <c r="J423" s="131"/>
      <c r="K423" s="166"/>
      <c r="L423" s="171" t="str">
        <f>IF(OR(L415="Federal Mobility Budget"), "Often", IF(OR(L415="professional travel", L415="EV Charging &amp; Fuel", L415="Commute"), "No", ""))</f>
        <v/>
      </c>
      <c r="M423" s="165"/>
      <c r="N423" s="22"/>
      <c r="O423" s="22"/>
      <c r="P423" s="169"/>
      <c r="Q423" s="35"/>
      <c r="R423" s="36"/>
      <c r="S423" s="150"/>
      <c r="T423" s="35"/>
      <c r="U423" s="36"/>
      <c r="V423" s="23"/>
      <c r="W423" s="23"/>
    </row>
    <row r="424" hidden="1" outlineLevel="1">
      <c r="A424" s="22"/>
      <c r="B424" s="22"/>
      <c r="C424" s="22"/>
      <c r="D424" s="22"/>
      <c r="E424" s="162" t="s">
        <v>178</v>
      </c>
      <c r="F424" s="128"/>
      <c r="G424" s="128"/>
      <c r="H424" s="128"/>
      <c r="I424" s="128"/>
      <c r="J424" s="128"/>
      <c r="K424" s="163"/>
      <c r="L424" s="170" t="str">
        <f>IF(OR(L415="Federal Mobility Budget"), "Yes", IF(OR(L415="professional travel", L415="EV Charging &amp; Fuel", L415="Commute"), "No", ""))</f>
        <v/>
      </c>
      <c r="M424" s="165" t="str">
        <f t="shared" ref="M424:M436" si="21">L424</f>
        <v/>
      </c>
      <c r="N424" s="22"/>
      <c r="O424" s="22"/>
      <c r="P424" s="161"/>
      <c r="Q424" s="35"/>
      <c r="R424" s="36"/>
      <c r="S424" s="150"/>
      <c r="T424" s="35"/>
      <c r="U424" s="36"/>
      <c r="V424" s="23"/>
      <c r="W424" s="23"/>
    </row>
    <row r="425" hidden="1" outlineLevel="1">
      <c r="A425" s="22"/>
      <c r="B425" s="22"/>
      <c r="C425" s="22"/>
      <c r="D425" s="22"/>
      <c r="E425" s="152" t="s">
        <v>179</v>
      </c>
      <c r="F425" s="131"/>
      <c r="G425" s="131"/>
      <c r="H425" s="131"/>
      <c r="I425" s="131"/>
      <c r="J425" s="131"/>
      <c r="K425" s="166"/>
      <c r="L425" s="171" t="str">
        <f>IF(OR(L415="Federal Mobility Budget", L415="professional travel"), "Yes", IF(OR(L415="EV Charging &amp; Fuel", L415="Commute"), "No", ""))</f>
        <v/>
      </c>
      <c r="M425" s="165" t="str">
        <f t="shared" si="21"/>
        <v/>
      </c>
      <c r="N425" s="22"/>
      <c r="O425" s="22"/>
      <c r="P425" s="161"/>
      <c r="Q425" s="35"/>
      <c r="R425" s="36"/>
      <c r="S425" s="150"/>
      <c r="T425" s="35"/>
      <c r="U425" s="36"/>
      <c r="V425" s="23"/>
      <c r="W425" s="23"/>
    </row>
    <row r="426" hidden="1" outlineLevel="1">
      <c r="A426" s="22"/>
      <c r="B426" s="22"/>
      <c r="C426" s="22"/>
      <c r="D426" s="22"/>
      <c r="E426" s="162" t="s">
        <v>180</v>
      </c>
      <c r="F426" s="128"/>
      <c r="G426" s="128"/>
      <c r="H426" s="128"/>
      <c r="I426" s="128"/>
      <c r="J426" s="128"/>
      <c r="K426" s="163"/>
      <c r="L426" s="170" t="str">
        <f>IF(OR(L415="Federal Mobility Budget"), "Yes", IF(OR(L415="professional travel", L415="EV Charging &amp; Fuel", L415="Commute"), "No", ""))</f>
        <v/>
      </c>
      <c r="M426" s="165" t="str">
        <f t="shared" si="21"/>
        <v/>
      </c>
      <c r="N426" s="22"/>
      <c r="O426" s="22"/>
      <c r="P426" s="161"/>
      <c r="Q426" s="35"/>
      <c r="R426" s="36"/>
      <c r="S426" s="150"/>
      <c r="T426" s="35"/>
      <c r="U426" s="36"/>
      <c r="V426" s="23"/>
      <c r="W426" s="23"/>
    </row>
    <row r="427" hidden="1" outlineLevel="1">
      <c r="A427" s="22"/>
      <c r="B427" s="22"/>
      <c r="C427" s="22"/>
      <c r="D427" s="22"/>
      <c r="E427" s="152" t="s">
        <v>181</v>
      </c>
      <c r="F427" s="131"/>
      <c r="G427" s="131"/>
      <c r="H427" s="131"/>
      <c r="I427" s="131"/>
      <c r="J427" s="131"/>
      <c r="K427" s="166"/>
      <c r="L427" s="171" t="str">
        <f>IF(OR(L415="Federal Mobility Budget", L415="Commute", L415="professional travel"), "Yes", IF(L415="EV Charging &amp; Fuel", "No", ""))</f>
        <v/>
      </c>
      <c r="M427" s="165" t="str">
        <f t="shared" si="21"/>
        <v/>
      </c>
      <c r="N427" s="22"/>
      <c r="O427" s="22"/>
      <c r="P427" s="161"/>
      <c r="Q427" s="35"/>
      <c r="R427" s="36"/>
      <c r="S427" s="150"/>
      <c r="T427" s="35"/>
      <c r="U427" s="36"/>
      <c r="V427" s="23"/>
      <c r="W427" s="23"/>
    </row>
    <row r="428" hidden="1" outlineLevel="1">
      <c r="A428" s="22"/>
      <c r="B428" s="22"/>
      <c r="C428" s="22"/>
      <c r="D428" s="22"/>
      <c r="E428" s="162" t="s">
        <v>182</v>
      </c>
      <c r="F428" s="128"/>
      <c r="G428" s="128"/>
      <c r="H428" s="128"/>
      <c r="I428" s="128"/>
      <c r="J428" s="128"/>
      <c r="K428" s="163"/>
      <c r="L428" s="170" t="str">
        <f>IF(OR(L415="Federal Mobility Budget", L415="Commute", L415="professional travel"), "Yes", IF(L415="EV Charging &amp; Fuel", "No", ""))</f>
        <v/>
      </c>
      <c r="M428" s="165" t="str">
        <f t="shared" si="21"/>
        <v/>
      </c>
      <c r="N428" s="22"/>
      <c r="O428" s="22"/>
      <c r="P428" s="161"/>
      <c r="Q428" s="35"/>
      <c r="R428" s="36"/>
      <c r="S428" s="150"/>
      <c r="T428" s="35"/>
      <c r="U428" s="36"/>
      <c r="V428" s="23"/>
      <c r="W428" s="23"/>
    </row>
    <row r="429" hidden="1" outlineLevel="1">
      <c r="A429" s="22"/>
      <c r="B429" s="22"/>
      <c r="C429" s="22"/>
      <c r="D429" s="22"/>
      <c r="E429" s="152" t="s">
        <v>183</v>
      </c>
      <c r="F429" s="131"/>
      <c r="G429" s="131"/>
      <c r="H429" s="131"/>
      <c r="I429" s="131"/>
      <c r="J429" s="131"/>
      <c r="K429" s="166"/>
      <c r="L429" s="171" t="str">
        <f>IF(OR(L415="Federal Mobility Budget"), "Yes", IF(OR(L415="professional travel", L415="EV Charging &amp; Fuel", L415="Commute"), "No", ""))</f>
        <v/>
      </c>
      <c r="M429" s="165" t="str">
        <f t="shared" si="21"/>
        <v/>
      </c>
      <c r="N429" s="22"/>
      <c r="O429" s="22"/>
      <c r="P429" s="161"/>
      <c r="Q429" s="35"/>
      <c r="R429" s="36"/>
      <c r="S429" s="150"/>
      <c r="T429" s="35"/>
      <c r="U429" s="36"/>
      <c r="V429" s="23"/>
      <c r="W429" s="23"/>
    </row>
    <row r="430" hidden="1" outlineLevel="1">
      <c r="A430" s="22"/>
      <c r="B430" s="22"/>
      <c r="C430" s="22"/>
      <c r="D430" s="22"/>
      <c r="E430" s="162" t="s">
        <v>184</v>
      </c>
      <c r="F430" s="128"/>
      <c r="G430" s="128"/>
      <c r="H430" s="128"/>
      <c r="I430" s="128"/>
      <c r="J430" s="128"/>
      <c r="K430" s="163"/>
      <c r="L430" s="170" t="str">
        <f>IF(OR(L415="professional travel"), "Yes", IF(OR(L415="Federal Mobility Budget", L415="EV Charging &amp; Fuel", L415="Commute"), "No", ""))</f>
        <v/>
      </c>
      <c r="M430" s="165" t="str">
        <f t="shared" si="21"/>
        <v/>
      </c>
      <c r="N430" s="22"/>
      <c r="O430" s="22"/>
      <c r="P430" s="161"/>
      <c r="Q430" s="35"/>
      <c r="R430" s="36"/>
      <c r="S430" s="150"/>
      <c r="T430" s="35"/>
      <c r="U430" s="36"/>
      <c r="V430" s="23"/>
      <c r="W430" s="23"/>
    </row>
    <row r="431" hidden="1" outlineLevel="1">
      <c r="A431" s="22"/>
      <c r="B431" s="22"/>
      <c r="C431" s="22"/>
      <c r="D431" s="22"/>
      <c r="E431" s="152" t="s">
        <v>185</v>
      </c>
      <c r="F431" s="131"/>
      <c r="G431" s="131"/>
      <c r="H431" s="131"/>
      <c r="I431" s="131"/>
      <c r="J431" s="131"/>
      <c r="K431" s="166"/>
      <c r="L431" s="171" t="str">
        <f>IF(OR(L415="Federal Mobility Budget", L415="Commute", L415="professional travel"), "Yes", IF(L415="EV Charging &amp; Fuel", "No", ""))</f>
        <v/>
      </c>
      <c r="M431" s="165" t="str">
        <f t="shared" si="21"/>
        <v/>
      </c>
      <c r="N431" s="22"/>
      <c r="O431" s="22"/>
      <c r="P431" s="161"/>
      <c r="Q431" s="35"/>
      <c r="R431" s="36"/>
      <c r="S431" s="150"/>
      <c r="T431" s="35"/>
      <c r="U431" s="36"/>
      <c r="V431" s="23"/>
      <c r="W431" s="23"/>
    </row>
    <row r="432" hidden="1" outlineLevel="1">
      <c r="A432" s="22"/>
      <c r="B432" s="22"/>
      <c r="C432" s="22"/>
      <c r="D432" s="22"/>
      <c r="E432" s="162" t="s">
        <v>186</v>
      </c>
      <c r="F432" s="128"/>
      <c r="G432" s="128"/>
      <c r="H432" s="128"/>
      <c r="I432" s="128"/>
      <c r="J432" s="128"/>
      <c r="K432" s="163"/>
      <c r="L432" s="170" t="str">
        <f>IF(OR(L415="Federal Mobility Budget", L415="Commute", L415="professional travel"), "Yes", IF(L415="EV Charging &amp; Fuel", "No", ""))</f>
        <v/>
      </c>
      <c r="M432" s="165" t="str">
        <f t="shared" si="21"/>
        <v/>
      </c>
      <c r="N432" s="22"/>
      <c r="O432" s="22"/>
      <c r="P432" s="161"/>
      <c r="Q432" s="35"/>
      <c r="R432" s="36"/>
      <c r="S432" s="150"/>
      <c r="T432" s="35"/>
      <c r="U432" s="36"/>
      <c r="V432" s="23"/>
      <c r="W432" s="23"/>
    </row>
    <row r="433" hidden="1" outlineLevel="1">
      <c r="A433" s="22"/>
      <c r="B433" s="22"/>
      <c r="C433" s="22"/>
      <c r="D433" s="22"/>
      <c r="E433" s="152" t="s">
        <v>187</v>
      </c>
      <c r="F433" s="131"/>
      <c r="G433" s="131"/>
      <c r="H433" s="131"/>
      <c r="I433" s="131"/>
      <c r="J433" s="131"/>
      <c r="K433" s="166"/>
      <c r="L433" s="171" t="str">
        <f>IF(OR(L415="Federal Mobility Budget", L415="professional travel"), "Yes", IF(OR(L415="EV Charging &amp; Fuel", L415="Commute"), "No", ""))</f>
        <v/>
      </c>
      <c r="M433" s="165" t="str">
        <f t="shared" si="21"/>
        <v/>
      </c>
      <c r="N433" s="22"/>
      <c r="O433" s="22"/>
      <c r="P433" s="161"/>
      <c r="Q433" s="35"/>
      <c r="R433" s="36"/>
      <c r="S433" s="150"/>
      <c r="T433" s="35"/>
      <c r="U433" s="36"/>
      <c r="V433" s="23"/>
      <c r="W433" s="23"/>
    </row>
    <row r="434" hidden="1" outlineLevel="1">
      <c r="A434" s="22"/>
      <c r="B434" s="22"/>
      <c r="C434" s="22"/>
      <c r="D434" s="22"/>
      <c r="E434" s="162" t="s">
        <v>188</v>
      </c>
      <c r="F434" s="128"/>
      <c r="G434" s="128"/>
      <c r="H434" s="128"/>
      <c r="I434" s="128"/>
      <c r="J434" s="128"/>
      <c r="K434" s="163"/>
      <c r="L434" s="170" t="str">
        <f>IF(OR(L415="Federal Mobility Budget", L415="Commute", L415="professional travel"), "No", IF(L415="EV Charging &amp; Fuel", "Yes", ""))</f>
        <v/>
      </c>
      <c r="M434" s="165" t="str">
        <f t="shared" si="21"/>
        <v/>
      </c>
      <c r="N434" s="22"/>
      <c r="O434" s="22"/>
      <c r="P434" s="161"/>
      <c r="Q434" s="35"/>
      <c r="R434" s="36"/>
      <c r="S434" s="150"/>
      <c r="T434" s="35"/>
      <c r="U434" s="36"/>
      <c r="V434" s="23"/>
      <c r="W434" s="23"/>
    </row>
    <row r="435" hidden="1" outlineLevel="1">
      <c r="A435" s="22"/>
      <c r="B435" s="22"/>
      <c r="C435" s="22"/>
      <c r="D435" s="22"/>
      <c r="E435" s="310" t="s">
        <v>189</v>
      </c>
      <c r="F435" s="35"/>
      <c r="G435" s="35"/>
      <c r="H435" s="35"/>
      <c r="I435" s="35"/>
      <c r="J435" s="35"/>
      <c r="K435" s="153"/>
      <c r="L435" s="171" t="str">
        <f>IF(OR(L415="Federal Mobility Budget", L415="Commute", L415="professional travel"), "No", IF(L415="EV Charging &amp; Fuel", "No", ""))</f>
        <v/>
      </c>
      <c r="M435" s="165" t="str">
        <f t="shared" si="21"/>
        <v/>
      </c>
      <c r="N435" s="22"/>
      <c r="O435" s="22"/>
      <c r="P435" s="161"/>
      <c r="Q435" s="35"/>
      <c r="R435" s="36"/>
      <c r="S435" s="150"/>
      <c r="T435" s="35"/>
      <c r="U435" s="36"/>
      <c r="V435" s="23"/>
      <c r="W435" s="23"/>
    </row>
    <row r="436" hidden="1" outlineLevel="1" collapsed="1">
      <c r="A436" s="22"/>
      <c r="B436" s="22"/>
      <c r="C436" s="22"/>
      <c r="D436" s="22"/>
      <c r="E436" s="162" t="s">
        <v>190</v>
      </c>
      <c r="F436" s="128"/>
      <c r="G436" s="128"/>
      <c r="H436" s="128"/>
      <c r="I436" s="128"/>
      <c r="J436" s="128"/>
      <c r="K436" s="163"/>
      <c r="L436" s="170" t="str">
        <f>IF(OR(L415="Federal Mobility Budget"), "Yes", IF(OR(L415="professional travel", L415="EV Charging &amp; Fuel", L415="Commute"), "No", ""))</f>
        <v/>
      </c>
      <c r="M436" s="165" t="str">
        <f t="shared" si="21"/>
        <v/>
      </c>
      <c r="N436" s="22"/>
      <c r="O436" s="22"/>
      <c r="P436" s="161"/>
      <c r="Q436" s="35"/>
      <c r="R436" s="36"/>
      <c r="S436" s="150"/>
      <c r="T436" s="35"/>
      <c r="U436" s="36"/>
      <c r="V436" s="23"/>
      <c r="W436" s="23"/>
    </row>
    <row r="437" hidden="1" outlineLevel="2">
      <c r="A437" s="22"/>
      <c r="B437" s="22"/>
      <c r="C437" s="22"/>
      <c r="D437" s="22"/>
      <c r="E437" s="173" t="s">
        <v>191</v>
      </c>
      <c r="F437" s="174"/>
      <c r="G437" s="174"/>
      <c r="H437" s="174"/>
      <c r="I437" s="174"/>
      <c r="J437" s="175"/>
      <c r="K437" s="176" t="str">
        <f>IF((L436="Yes"),"Yes allow","") </f>
        <v/>
      </c>
      <c r="L437" s="177"/>
      <c r="M437" s="18"/>
      <c r="N437" s="22"/>
      <c r="O437" s="22"/>
      <c r="P437" s="161"/>
      <c r="Q437" s="35"/>
      <c r="R437" s="36"/>
      <c r="S437" s="150"/>
      <c r="T437" s="35"/>
      <c r="U437" s="36"/>
      <c r="V437" s="23"/>
      <c r="W437" s="23"/>
    </row>
    <row r="438" hidden="1" outlineLevel="2">
      <c r="A438" s="22"/>
      <c r="B438" s="22"/>
      <c r="C438" s="22"/>
      <c r="D438" s="22"/>
      <c r="E438" s="178" t="s">
        <v>192</v>
      </c>
      <c r="F438" s="179"/>
      <c r="G438" s="179"/>
      <c r="H438" s="179"/>
      <c r="I438" s="179"/>
      <c r="J438" s="180"/>
      <c r="K438" s="304" t="str">
        <f>IF((L436="Yes"),"Yes allow","") </f>
        <v/>
      </c>
      <c r="L438" s="305"/>
      <c r="M438" s="18"/>
      <c r="N438" s="22"/>
      <c r="O438" s="22"/>
      <c r="P438" s="161"/>
      <c r="Q438" s="35"/>
      <c r="R438" s="36"/>
      <c r="S438" s="150"/>
      <c r="T438" s="35"/>
      <c r="U438" s="36"/>
      <c r="V438" s="23"/>
      <c r="W438" s="23"/>
    </row>
    <row r="439" hidden="1" outlineLevel="1" collapsed="1">
      <c r="A439" s="22"/>
      <c r="B439" s="22"/>
      <c r="C439" s="22"/>
      <c r="D439" s="22"/>
      <c r="E439" s="152" t="s">
        <v>341</v>
      </c>
      <c r="F439" s="35"/>
      <c r="G439" s="35"/>
      <c r="H439" s="35"/>
      <c r="I439" s="35"/>
      <c r="J439" s="35"/>
      <c r="K439" s="153"/>
      <c r="L439" s="171" t="str">
        <f>IF(OR(L415="Federal Mobility Budget", L415="Commute", L415="professional travel"), "Yes", IF(L415="EV Charging &amp; Fuel", "No", ""))</f>
        <v/>
      </c>
      <c r="M439" s="165" t="str">
        <f>L439</f>
        <v/>
      </c>
      <c r="N439" s="22"/>
      <c r="O439" s="22"/>
      <c r="P439" s="161"/>
      <c r="Q439" s="35"/>
      <c r="R439" s="36"/>
      <c r="S439" s="150"/>
      <c r="T439" s="35"/>
      <c r="U439" s="36"/>
      <c r="V439" s="23"/>
      <c r="W439" s="23"/>
    </row>
    <row r="440" hidden="1" outlineLevel="2">
      <c r="A440" s="22"/>
      <c r="B440" s="22"/>
      <c r="C440" s="22"/>
      <c r="D440" s="22"/>
      <c r="E440" s="182" t="s">
        <v>194</v>
      </c>
      <c r="F440" s="183"/>
      <c r="G440" s="183"/>
      <c r="H440" s="183"/>
      <c r="I440" s="183"/>
      <c r="J440" s="184"/>
      <c r="K440" s="185" t="str">
        <f>IF(OR(L439="Yes",L439="Often"),"0.37","") </f>
        <v/>
      </c>
      <c r="L440" s="186"/>
      <c r="M440" s="187" t="str">
        <f t="shared" ref="M440:M441" si="22">K440</f>
        <v/>
      </c>
      <c r="N440" s="22"/>
      <c r="O440" s="22"/>
      <c r="P440" s="161"/>
      <c r="Q440" s="35"/>
      <c r="R440" s="36"/>
      <c r="S440" s="150"/>
      <c r="T440" s="35"/>
      <c r="U440" s="36"/>
      <c r="V440" s="23"/>
      <c r="W440" s="23"/>
    </row>
    <row r="441" hidden="1" outlineLevel="2">
      <c r="A441" s="22"/>
      <c r="B441" s="22"/>
      <c r="C441" s="22"/>
      <c r="D441" s="22"/>
      <c r="E441" s="188" t="s">
        <v>195</v>
      </c>
      <c r="F441" s="189"/>
      <c r="G441" s="189"/>
      <c r="H441" s="189"/>
      <c r="I441" s="189"/>
      <c r="J441" s="190"/>
      <c r="K441" s="191" t="str">
        <f>IF(OR(L439="Yes",L439="Often"),"120","") </f>
        <v/>
      </c>
      <c r="L441" s="192"/>
      <c r="M441" s="193" t="str">
        <f t="shared" si="22"/>
        <v/>
      </c>
      <c r="N441" s="22"/>
      <c r="O441" s="22"/>
      <c r="P441" s="161"/>
      <c r="Q441" s="35"/>
      <c r="R441" s="36"/>
      <c r="S441" s="150"/>
      <c r="T441" s="35"/>
      <c r="U441" s="36"/>
      <c r="V441" s="23"/>
      <c r="W441" s="23"/>
    </row>
    <row r="442" hidden="1" outlineLevel="2">
      <c r="A442" s="22"/>
      <c r="B442" s="22"/>
      <c r="C442" s="22"/>
      <c r="D442" s="22"/>
      <c r="E442" s="188" t="s">
        <v>196</v>
      </c>
      <c r="F442" s="189"/>
      <c r="G442" s="189"/>
      <c r="H442" s="189"/>
      <c r="I442" s="189"/>
      <c r="J442" s="190"/>
      <c r="K442" s="191" t="str">
        <f>IF(OR(L439="Yes",L439="Often"),"No don't allow","") </f>
        <v/>
      </c>
      <c r="L442" s="192"/>
      <c r="M442" s="18"/>
      <c r="N442" s="22"/>
      <c r="O442" s="22"/>
      <c r="P442" s="161"/>
      <c r="Q442" s="35"/>
      <c r="R442" s="36"/>
      <c r="S442" s="150"/>
      <c r="T442" s="35"/>
      <c r="U442" s="36"/>
      <c r="V442" s="23"/>
      <c r="W442" s="23"/>
    </row>
    <row r="443" hidden="1" outlineLevel="2">
      <c r="A443" s="22"/>
      <c r="B443" s="22"/>
      <c r="C443" s="22"/>
      <c r="D443" s="22"/>
      <c r="E443" s="194" t="s">
        <v>197</v>
      </c>
      <c r="F443" s="195"/>
      <c r="G443" s="195"/>
      <c r="H443" s="195"/>
      <c r="I443" s="195"/>
      <c r="J443" s="196"/>
      <c r="K443" s="197" t="str">
        <f>IF(OR(L439="Yes",L439="Often"),"No auto-approved","") </f>
        <v/>
      </c>
      <c r="L443" s="198"/>
      <c r="M443" s="18"/>
      <c r="N443" s="22"/>
      <c r="O443" s="22"/>
      <c r="P443" s="161"/>
      <c r="Q443" s="35"/>
      <c r="R443" s="36"/>
      <c r="S443" s="150"/>
      <c r="T443" s="35"/>
      <c r="U443" s="36"/>
      <c r="V443" s="23"/>
      <c r="W443" s="23"/>
    </row>
    <row r="444" hidden="1" outlineLevel="1" collapsed="1">
      <c r="A444" s="22"/>
      <c r="B444" s="22"/>
      <c r="C444" s="22"/>
      <c r="D444" s="22"/>
      <c r="E444" s="162" t="s">
        <v>342</v>
      </c>
      <c r="F444" s="35"/>
      <c r="G444" s="35"/>
      <c r="H444" s="35"/>
      <c r="I444" s="35"/>
      <c r="J444" s="35"/>
      <c r="K444" s="199"/>
      <c r="L444" s="200" t="str">
        <f>IF(OR(L415="professional travel", L415="Commute"), "Yes", IF(OR(L415="Federal Mobility Budget", L415="EV Charging &amp; Fuel"), "No", ""))</f>
        <v/>
      </c>
      <c r="M444" s="165" t="str">
        <f>L444</f>
        <v/>
      </c>
      <c r="N444" s="22"/>
      <c r="O444" s="22"/>
      <c r="P444" s="161"/>
      <c r="Q444" s="35"/>
      <c r="R444" s="36"/>
      <c r="S444" s="150"/>
      <c r="T444" s="35"/>
      <c r="U444" s="36"/>
      <c r="V444" s="23"/>
      <c r="W444" s="23"/>
    </row>
    <row r="445" hidden="1" outlineLevel="2">
      <c r="A445" s="22"/>
      <c r="B445" s="22"/>
      <c r="C445" s="22"/>
      <c r="D445" s="22"/>
      <c r="E445" s="173" t="s">
        <v>194</v>
      </c>
      <c r="F445" s="201"/>
      <c r="G445" s="201"/>
      <c r="H445" s="201"/>
      <c r="I445" s="201"/>
      <c r="J445" s="202"/>
      <c r="K445" s="203" t="str">
        <f>IF(OR(L444="Yes",L444="Often"),"0.43","") </f>
        <v/>
      </c>
      <c r="L445" s="204"/>
      <c r="M445" s="187" t="str">
        <f t="shared" ref="M445:M446" si="23">K445</f>
        <v/>
      </c>
      <c r="N445" s="22"/>
      <c r="O445" s="22"/>
      <c r="P445" s="161"/>
      <c r="Q445" s="35"/>
      <c r="R445" s="36"/>
      <c r="S445" s="150"/>
      <c r="T445" s="35"/>
      <c r="U445" s="36"/>
      <c r="V445" s="23"/>
      <c r="W445" s="23"/>
    </row>
    <row r="446" hidden="1" outlineLevel="2">
      <c r="A446" s="22"/>
      <c r="B446" s="22"/>
      <c r="C446" s="22"/>
      <c r="D446" s="22"/>
      <c r="E446" s="205" t="s">
        <v>195</v>
      </c>
      <c r="F446" s="206"/>
      <c r="G446" s="206"/>
      <c r="H446" s="206"/>
      <c r="I446" s="206"/>
      <c r="J446" s="207"/>
      <c r="K446" s="176" t="str">
        <f>IF(OR(L444="Yes",L444="Often"),"250","") </f>
        <v/>
      </c>
      <c r="L446" s="208"/>
      <c r="M446" s="187" t="str">
        <f t="shared" si="23"/>
        <v/>
      </c>
      <c r="N446" s="22"/>
      <c r="O446" s="22"/>
      <c r="P446" s="161"/>
      <c r="Q446" s="35"/>
      <c r="R446" s="36"/>
      <c r="S446" s="150"/>
      <c r="T446" s="35"/>
      <c r="U446" s="36"/>
      <c r="V446" s="23"/>
      <c r="W446" s="23"/>
    </row>
    <row r="447" hidden="1" outlineLevel="2">
      <c r="A447" s="22"/>
      <c r="B447" s="22"/>
      <c r="C447" s="22"/>
      <c r="D447" s="22"/>
      <c r="E447" s="205" t="s">
        <v>196</v>
      </c>
      <c r="F447" s="206"/>
      <c r="G447" s="206"/>
      <c r="H447" s="206"/>
      <c r="I447" s="206"/>
      <c r="J447" s="207"/>
      <c r="K447" s="176" t="str">
        <f>IF(OR(L444="Yes",L444="Often"),"No don't allow","") </f>
        <v/>
      </c>
      <c r="L447" s="208"/>
      <c r="M447" s="18"/>
      <c r="N447" s="22"/>
      <c r="O447" s="22"/>
      <c r="P447" s="161"/>
      <c r="Q447" s="35"/>
      <c r="R447" s="36"/>
      <c r="S447" s="150"/>
      <c r="T447" s="35"/>
      <c r="U447" s="36"/>
      <c r="V447" s="23"/>
      <c r="W447" s="23"/>
    </row>
    <row r="448" hidden="1" outlineLevel="2">
      <c r="A448" s="22"/>
      <c r="B448" s="22"/>
      <c r="C448" s="22"/>
      <c r="D448" s="22"/>
      <c r="E448" s="178" t="s">
        <v>197</v>
      </c>
      <c r="F448" s="209"/>
      <c r="G448" s="209"/>
      <c r="H448" s="209"/>
      <c r="I448" s="209"/>
      <c r="J448" s="210"/>
      <c r="K448" s="176" t="str">
        <f>IF(OR(L444="Yes",L444="Often"),"No auto-approved","") </f>
        <v/>
      </c>
      <c r="L448" s="208"/>
      <c r="M448" s="18"/>
      <c r="N448" s="22"/>
      <c r="O448" s="22"/>
      <c r="P448" s="161"/>
      <c r="Q448" s="35"/>
      <c r="R448" s="36"/>
      <c r="S448" s="150"/>
      <c r="T448" s="35"/>
      <c r="U448" s="36"/>
      <c r="V448" s="23"/>
      <c r="W448" s="23"/>
    </row>
    <row r="449" hidden="1" outlineLevel="1" collapsed="1">
      <c r="A449" s="22"/>
      <c r="B449" s="22"/>
      <c r="C449" s="22"/>
      <c r="D449" s="22"/>
      <c r="E449" s="152" t="s">
        <v>343</v>
      </c>
      <c r="F449" s="35"/>
      <c r="G449" s="35"/>
      <c r="H449" s="35"/>
      <c r="I449" s="35"/>
      <c r="J449" s="35"/>
      <c r="K449" s="153"/>
      <c r="L449" s="211" t="str">
        <f>IF(L415="commute","Often",IF(L415="professional travel","Yes",IF(OR(L415="Federal Mobility Budget",L415="EV Charging &amp; Fuel"),"No",L415)))</f>
        <v/>
      </c>
      <c r="M449" s="165"/>
      <c r="N449" s="22"/>
      <c r="O449" s="22"/>
      <c r="P449" s="169"/>
      <c r="Q449" s="35"/>
      <c r="R449" s="36"/>
      <c r="S449" s="150"/>
      <c r="T449" s="35"/>
      <c r="U449" s="36"/>
      <c r="V449" s="23"/>
      <c r="W449" s="23"/>
    </row>
    <row r="450" hidden="1" outlineLevel="2">
      <c r="A450" s="22"/>
      <c r="B450" s="22"/>
      <c r="C450" s="22"/>
      <c r="D450" s="22"/>
      <c r="E450" s="182" t="s">
        <v>194</v>
      </c>
      <c r="F450" s="183"/>
      <c r="G450" s="183"/>
      <c r="H450" s="183"/>
      <c r="I450" s="183"/>
      <c r="J450" s="184"/>
      <c r="K450" s="185" t="str">
        <f>IF(OR(L449="Yes",L449="Often"),"0.43","") </f>
        <v/>
      </c>
      <c r="L450" s="186"/>
      <c r="M450" s="187" t="str">
        <f t="shared" ref="M450:M451" si="24">K450</f>
        <v/>
      </c>
      <c r="N450" s="22"/>
      <c r="O450" s="22"/>
      <c r="P450" s="161"/>
      <c r="Q450" s="35"/>
      <c r="R450" s="36"/>
      <c r="S450" s="150"/>
      <c r="T450" s="35"/>
      <c r="U450" s="36"/>
      <c r="V450" s="23"/>
      <c r="W450" s="23"/>
    </row>
    <row r="451" hidden="1" outlineLevel="2">
      <c r="A451" s="22"/>
      <c r="B451" s="22"/>
      <c r="C451" s="22"/>
      <c r="D451" s="22"/>
      <c r="E451" s="188" t="s">
        <v>195</v>
      </c>
      <c r="F451" s="189"/>
      <c r="G451" s="189"/>
      <c r="H451" s="189"/>
      <c r="I451" s="189"/>
      <c r="J451" s="190"/>
      <c r="K451" s="191" t="str">
        <f>IF(OR(L449="Yes",L449="Often"),"250","") </f>
        <v/>
      </c>
      <c r="L451" s="192"/>
      <c r="M451" s="187" t="str">
        <f t="shared" si="24"/>
        <v/>
      </c>
      <c r="N451" s="22"/>
      <c r="O451" s="22"/>
      <c r="P451" s="161"/>
      <c r="Q451" s="35"/>
      <c r="R451" s="36"/>
      <c r="S451" s="150"/>
      <c r="T451" s="35"/>
      <c r="U451" s="36"/>
      <c r="V451" s="23"/>
      <c r="W451" s="23"/>
    </row>
    <row r="452" hidden="1" outlineLevel="2">
      <c r="A452" s="22"/>
      <c r="B452" s="22"/>
      <c r="C452" s="22"/>
      <c r="D452" s="22"/>
      <c r="E452" s="188" t="s">
        <v>196</v>
      </c>
      <c r="F452" s="189"/>
      <c r="G452" s="189"/>
      <c r="H452" s="189"/>
      <c r="I452" s="189"/>
      <c r="J452" s="190"/>
      <c r="K452" s="191" t="str">
        <f>IF(OR(L449="Yes",L449="Often"),"No don't allow","") </f>
        <v/>
      </c>
      <c r="L452" s="192"/>
      <c r="M452" s="18"/>
      <c r="N452" s="22"/>
      <c r="O452" s="22"/>
      <c r="P452" s="161"/>
      <c r="Q452" s="35"/>
      <c r="R452" s="36"/>
      <c r="S452" s="150"/>
      <c r="T452" s="35"/>
      <c r="U452" s="36"/>
      <c r="V452" s="23"/>
      <c r="W452" s="23"/>
    </row>
    <row r="453" hidden="1" outlineLevel="2">
      <c r="A453" s="22"/>
      <c r="B453" s="22"/>
      <c r="C453" s="22"/>
      <c r="D453" s="22"/>
      <c r="E453" s="194" t="s">
        <v>197</v>
      </c>
      <c r="F453" s="195"/>
      <c r="G453" s="195"/>
      <c r="H453" s="195"/>
      <c r="I453" s="195"/>
      <c r="J453" s="196"/>
      <c r="K453" s="197" t="str">
        <f>IF(OR(L449="Yes",L449="Often"),"No auto-approved","") </f>
        <v/>
      </c>
      <c r="L453" s="198"/>
      <c r="M453" s="18"/>
      <c r="N453" s="22"/>
      <c r="O453" s="22"/>
      <c r="P453" s="161"/>
      <c r="Q453" s="35"/>
      <c r="R453" s="36"/>
      <c r="S453" s="150"/>
      <c r="T453" s="35"/>
      <c r="U453" s="36"/>
      <c r="V453" s="23"/>
      <c r="W453" s="23"/>
    </row>
    <row r="454" hidden="1" outlineLevel="1" collapsed="1">
      <c r="A454" s="22"/>
      <c r="B454" s="22"/>
      <c r="C454" s="22"/>
      <c r="D454" s="22"/>
      <c r="E454" s="162" t="s">
        <v>344</v>
      </c>
      <c r="F454" s="35"/>
      <c r="G454" s="35"/>
      <c r="H454" s="35"/>
      <c r="I454" s="35"/>
      <c r="J454" s="35"/>
      <c r="K454" s="199"/>
      <c r="L454" s="200" t="str">
        <f>IF(L415="Commute","Yes",IF(L415="Federal Mobility Budget","Often",IF(OR(L415="Professional Travel",L415="EV Charging &amp; Fuel"),"No",L415)))</f>
        <v/>
      </c>
      <c r="M454" s="165"/>
      <c r="N454" s="22"/>
      <c r="O454" s="22"/>
      <c r="P454" s="161"/>
      <c r="Q454" s="35"/>
      <c r="R454" s="36"/>
      <c r="S454" s="150"/>
      <c r="T454" s="35"/>
      <c r="U454" s="36"/>
      <c r="V454" s="23"/>
      <c r="W454" s="23"/>
    </row>
    <row r="455" hidden="1" outlineLevel="2">
      <c r="A455" s="22"/>
      <c r="B455" s="22"/>
      <c r="C455" s="22"/>
      <c r="D455" s="22"/>
      <c r="E455" s="173" t="s">
        <v>194</v>
      </c>
      <c r="F455" s="201"/>
      <c r="G455" s="201"/>
      <c r="H455" s="201"/>
      <c r="I455" s="201"/>
      <c r="J455" s="202"/>
      <c r="K455" s="203" t="str">
        <f>IF(OR(L454="Yes",L454="Often"),"0.36","") </f>
        <v/>
      </c>
      <c r="L455" s="204"/>
      <c r="M455" s="187" t="str">
        <f t="shared" ref="M455:M456" si="25">K455</f>
        <v/>
      </c>
      <c r="N455" s="22"/>
      <c r="O455" s="22"/>
      <c r="P455" s="150"/>
      <c r="Q455" s="35"/>
      <c r="R455" s="36"/>
      <c r="S455" s="150"/>
      <c r="T455" s="35"/>
      <c r="U455" s="36"/>
      <c r="V455" s="23"/>
      <c r="W455" s="23"/>
    </row>
    <row r="456" hidden="1" outlineLevel="2">
      <c r="A456" s="22"/>
      <c r="B456" s="22"/>
      <c r="C456" s="22"/>
      <c r="D456" s="22"/>
      <c r="E456" s="205" t="s">
        <v>195</v>
      </c>
      <c r="F456" s="206"/>
      <c r="G456" s="206"/>
      <c r="H456" s="206"/>
      <c r="I456" s="206"/>
      <c r="J456" s="207"/>
      <c r="K456" s="176" t="str">
        <f>IF(OR(L454="Yes",L454="Often"),"15","") </f>
        <v/>
      </c>
      <c r="L456" s="208"/>
      <c r="M456" s="187" t="str">
        <f t="shared" si="25"/>
        <v/>
      </c>
      <c r="N456" s="22"/>
      <c r="O456" s="22"/>
      <c r="P456" s="150"/>
      <c r="Q456" s="35"/>
      <c r="R456" s="36"/>
      <c r="S456" s="150"/>
      <c r="T456" s="35"/>
      <c r="U456" s="36"/>
      <c r="V456" s="23"/>
      <c r="W456" s="23"/>
    </row>
    <row r="457" hidden="1" outlineLevel="2">
      <c r="A457" s="22"/>
      <c r="B457" s="22"/>
      <c r="C457" s="22"/>
      <c r="D457" s="22"/>
      <c r="E457" s="205" t="s">
        <v>196</v>
      </c>
      <c r="F457" s="206"/>
      <c r="G457" s="206"/>
      <c r="H457" s="206"/>
      <c r="I457" s="206"/>
      <c r="J457" s="207"/>
      <c r="K457" s="176" t="str">
        <f>IF(OR(L454="Yes",L454="Often"),"No don't allow","") </f>
        <v/>
      </c>
      <c r="L457" s="208"/>
      <c r="M457" s="18"/>
      <c r="N457" s="22"/>
      <c r="O457" s="22"/>
      <c r="P457" s="150"/>
      <c r="Q457" s="35"/>
      <c r="R457" s="36"/>
      <c r="S457" s="150"/>
      <c r="T457" s="35"/>
      <c r="U457" s="36"/>
      <c r="V457" s="23"/>
      <c r="W457" s="23"/>
    </row>
    <row r="458" hidden="1" outlineLevel="2">
      <c r="A458" s="22"/>
      <c r="B458" s="22"/>
      <c r="C458" s="22"/>
      <c r="D458" s="22"/>
      <c r="E458" s="178" t="s">
        <v>197</v>
      </c>
      <c r="F458" s="209"/>
      <c r="G458" s="209"/>
      <c r="H458" s="209"/>
      <c r="I458" s="209"/>
      <c r="J458" s="210"/>
      <c r="K458" s="176" t="str">
        <f>IF(OR(L454="Yes",L454="Often"),"No auto-approved","") </f>
        <v/>
      </c>
      <c r="L458" s="208"/>
      <c r="M458" s="18"/>
      <c r="N458" s="22"/>
      <c r="O458" s="22"/>
      <c r="P458" s="150"/>
      <c r="Q458" s="35"/>
      <c r="R458" s="36"/>
      <c r="S458" s="150"/>
      <c r="T458" s="35"/>
      <c r="U458" s="36"/>
      <c r="V458" s="23"/>
      <c r="W458" s="23"/>
    </row>
    <row r="459" collapsed="1">
      <c r="A459" s="146" t="s">
        <v>345</v>
      </c>
      <c r="B459" s="146"/>
      <c r="C459" s="147"/>
      <c r="D459" s="278"/>
      <c r="E459" s="148" t="s">
        <v>202</v>
      </c>
      <c r="F459" s="35"/>
      <c r="G459" s="35"/>
      <c r="H459" s="35"/>
      <c r="I459" s="35"/>
      <c r="J459" s="35"/>
      <c r="K459" s="35"/>
      <c r="L459" s="35"/>
      <c r="M459" s="36"/>
      <c r="N459" s="22"/>
      <c r="O459" s="22"/>
      <c r="P459" s="150"/>
      <c r="Q459" s="35"/>
      <c r="R459" s="36"/>
      <c r="S459" s="150"/>
      <c r="T459" s="35"/>
      <c r="U459" s="36"/>
      <c r="V459" s="23"/>
      <c r="W459" s="23"/>
    </row>
    <row r="460" hidden="1" outlineLevel="1">
      <c r="A460" s="22"/>
      <c r="B460" s="22"/>
      <c r="C460" s="43"/>
      <c r="D460" s="22"/>
      <c r="E460" s="212" t="s">
        <v>346</v>
      </c>
      <c r="F460" s="10"/>
      <c r="G460" s="10"/>
      <c r="H460" s="10"/>
      <c r="I460" s="10"/>
      <c r="J460" s="10"/>
      <c r="K460" s="10"/>
      <c r="L460" s="213"/>
      <c r="M460" s="214"/>
      <c r="N460" s="22"/>
      <c r="O460" s="22"/>
      <c r="P460" s="150"/>
      <c r="Q460" s="35"/>
      <c r="R460" s="36"/>
      <c r="S460" s="150"/>
      <c r="T460" s="35"/>
      <c r="U460" s="36"/>
      <c r="V460" s="23"/>
      <c r="W460" s="23"/>
    </row>
    <row r="461" hidden="1" outlineLevel="1" collapsed="1">
      <c r="A461" s="22"/>
      <c r="B461" s="22"/>
      <c r="C461" s="43"/>
      <c r="D461" s="23"/>
      <c r="E461" s="215" t="s">
        <v>347</v>
      </c>
      <c r="F461" s="216"/>
      <c r="G461" s="216"/>
      <c r="H461" s="216"/>
      <c r="I461" s="216"/>
      <c r="J461" s="216"/>
      <c r="K461" s="216"/>
      <c r="L461" s="216"/>
      <c r="M461" s="217"/>
      <c r="N461" s="24"/>
      <c r="O461" s="22"/>
      <c r="P461" s="150"/>
      <c r="Q461" s="35"/>
      <c r="R461" s="36"/>
      <c r="S461" s="150"/>
      <c r="T461" s="35"/>
      <c r="U461" s="36"/>
      <c r="V461" s="23"/>
      <c r="W461" s="23"/>
    </row>
    <row r="462" hidden="1" outlineLevel="2">
      <c r="A462" s="218"/>
      <c r="B462" s="218"/>
      <c r="C462" s="219"/>
      <c r="D462" s="23"/>
      <c r="E462" s="220"/>
      <c r="F462" s="221" t="s">
        <v>206</v>
      </c>
      <c r="G462" s="222"/>
      <c r="H462" s="223"/>
      <c r="I462" s="223"/>
      <c r="J462" s="223"/>
      <c r="K462" s="223" t="s">
        <v>207</v>
      </c>
      <c r="L462" s="224" t="s">
        <v>208</v>
      </c>
      <c r="M462" s="225"/>
      <c r="N462" s="24"/>
      <c r="O462" s="22"/>
      <c r="P462" s="150"/>
      <c r="Q462" s="35"/>
      <c r="R462" s="36"/>
      <c r="S462" s="172"/>
      <c r="T462" s="172"/>
      <c r="U462" s="172"/>
      <c r="V462" s="23"/>
      <c r="W462" s="23"/>
    </row>
    <row r="463" hidden="1" outlineLevel="2">
      <c r="A463" s="218"/>
      <c r="B463" s="218"/>
      <c r="C463" s="219"/>
      <c r="D463" s="23"/>
      <c r="E463" s="220"/>
      <c r="F463" s="221" t="s">
        <v>209</v>
      </c>
      <c r="G463" s="222"/>
      <c r="H463" s="223"/>
      <c r="I463" s="223"/>
      <c r="J463" s="223"/>
      <c r="K463" s="223" t="s">
        <v>210</v>
      </c>
      <c r="L463" s="224" t="s">
        <v>211</v>
      </c>
      <c r="M463" s="225"/>
      <c r="N463" s="24"/>
      <c r="O463" s="22"/>
      <c r="P463" s="150"/>
      <c r="Q463" s="35"/>
      <c r="R463" s="36"/>
      <c r="S463" s="172"/>
      <c r="T463" s="172"/>
      <c r="U463" s="172"/>
      <c r="V463" s="23"/>
      <c r="W463" s="23"/>
    </row>
    <row r="464" hidden="1" outlineLevel="2">
      <c r="A464" s="218"/>
      <c r="B464" s="218"/>
      <c r="C464" s="219"/>
      <c r="D464" s="23"/>
      <c r="E464" s="220"/>
      <c r="F464" s="221" t="s">
        <v>212</v>
      </c>
      <c r="G464" s="222"/>
      <c r="H464" s="226" t="s">
        <v>213</v>
      </c>
      <c r="I464" s="189"/>
      <c r="J464" s="189"/>
      <c r="K464" s="190"/>
      <c r="L464" s="227"/>
      <c r="M464" s="225"/>
      <c r="N464" s="24"/>
      <c r="O464" s="22"/>
      <c r="P464" s="150"/>
      <c r="Q464" s="35"/>
      <c r="R464" s="36"/>
      <c r="S464" s="150"/>
      <c r="T464" s="35"/>
      <c r="U464" s="36"/>
      <c r="V464" s="23"/>
      <c r="W464" s="23"/>
    </row>
    <row r="465" hidden="1" outlineLevel="2">
      <c r="A465" s="218"/>
      <c r="B465" s="218"/>
      <c r="C465" s="219"/>
      <c r="D465" s="23"/>
      <c r="E465" s="220"/>
      <c r="F465" s="221" t="s">
        <v>214</v>
      </c>
      <c r="G465" s="222"/>
      <c r="H465" s="222"/>
      <c r="I465" s="226" t="s">
        <v>215</v>
      </c>
      <c r="J465" s="189"/>
      <c r="K465" s="190"/>
      <c r="L465" s="227"/>
      <c r="M465" s="225"/>
      <c r="N465" s="24"/>
      <c r="O465" s="22"/>
      <c r="P465" s="150"/>
      <c r="Q465" s="35"/>
      <c r="R465" s="36"/>
      <c r="S465" s="150"/>
      <c r="T465" s="35"/>
      <c r="U465" s="36"/>
      <c r="V465" s="23"/>
      <c r="W465" s="23"/>
    </row>
    <row r="466" hidden="1" outlineLevel="2">
      <c r="A466" s="218"/>
      <c r="B466" s="218"/>
      <c r="C466" s="219"/>
      <c r="D466" s="23"/>
      <c r="E466" s="220"/>
      <c r="F466" s="228" t="s">
        <v>216</v>
      </c>
      <c r="G466" s="222"/>
      <c r="H466" s="222"/>
      <c r="I466" s="223"/>
      <c r="J466" s="223"/>
      <c r="K466" s="223" t="s">
        <v>217</v>
      </c>
      <c r="L466" s="227"/>
      <c r="M466" s="225"/>
      <c r="N466" s="24"/>
      <c r="O466" s="22"/>
      <c r="P466" s="150"/>
      <c r="Q466" s="35"/>
      <c r="R466" s="36"/>
      <c r="S466" s="172"/>
      <c r="T466" s="172"/>
      <c r="U466" s="172"/>
      <c r="V466" s="23"/>
      <c r="W466" s="23"/>
    </row>
    <row r="467" hidden="1" outlineLevel="2">
      <c r="A467" s="218"/>
      <c r="B467" s="218"/>
      <c r="C467" s="219"/>
      <c r="D467" s="229"/>
      <c r="E467" s="230"/>
      <c r="F467" s="228" t="s">
        <v>218</v>
      </c>
      <c r="G467" s="231" t="s">
        <v>219</v>
      </c>
      <c r="H467" s="189"/>
      <c r="I467" s="189"/>
      <c r="J467" s="189"/>
      <c r="K467" s="190"/>
      <c r="L467" s="227"/>
      <c r="M467" s="225"/>
      <c r="N467" s="232"/>
      <c r="O467" s="22"/>
      <c r="P467" s="150"/>
      <c r="Q467" s="35"/>
      <c r="R467" s="36"/>
      <c r="S467" s="150"/>
      <c r="T467" s="35"/>
      <c r="U467" s="36"/>
      <c r="V467" s="229"/>
      <c r="W467" s="229"/>
    </row>
    <row r="468" hidden="1" outlineLevel="2">
      <c r="A468" s="218"/>
      <c r="B468" s="233"/>
      <c r="C468" s="234"/>
      <c r="D468" s="229"/>
      <c r="E468" s="230"/>
      <c r="F468" s="228" t="s">
        <v>220</v>
      </c>
      <c r="G468" s="235"/>
      <c r="H468" s="231" t="s">
        <v>221</v>
      </c>
      <c r="I468" s="189"/>
      <c r="J468" s="189"/>
      <c r="K468" s="190"/>
      <c r="L468" s="236"/>
      <c r="M468" s="237"/>
      <c r="N468" s="232"/>
      <c r="O468" s="22"/>
      <c r="P468" s="150"/>
      <c r="Q468" s="35"/>
      <c r="R468" s="36"/>
      <c r="S468" s="172"/>
      <c r="T468" s="172"/>
      <c r="U468" s="172"/>
      <c r="V468" s="229"/>
      <c r="W468" s="229"/>
    </row>
    <row r="469" hidden="1" outlineLevel="2">
      <c r="A469" s="238"/>
      <c r="B469" s="239"/>
      <c r="C469" s="240"/>
      <c r="D469" s="241"/>
      <c r="E469" s="242"/>
      <c r="F469" s="243" t="s">
        <v>222</v>
      </c>
      <c r="G469" s="244"/>
      <c r="H469" s="245"/>
      <c r="I469" s="245"/>
      <c r="J469" s="245"/>
      <c r="K469" s="246" t="s">
        <v>223</v>
      </c>
      <c r="L469" s="247"/>
      <c r="M469" s="248"/>
      <c r="N469" s="232"/>
      <c r="O469" s="22"/>
      <c r="P469" s="150"/>
      <c r="Q469" s="35"/>
      <c r="R469" s="36"/>
      <c r="S469" s="172"/>
      <c r="T469" s="172"/>
      <c r="U469" s="172"/>
      <c r="V469" s="229"/>
      <c r="W469" s="229"/>
    </row>
    <row r="470" hidden="1" outlineLevel="1" collapsed="1">
      <c r="A470" s="249"/>
      <c r="B470" s="250"/>
      <c r="C470" s="251"/>
      <c r="D470" s="252"/>
      <c r="E470" s="215" t="s">
        <v>348</v>
      </c>
      <c r="F470" s="216"/>
      <c r="G470" s="216"/>
      <c r="H470" s="216"/>
      <c r="I470" s="216"/>
      <c r="J470" s="216"/>
      <c r="K470" s="216"/>
      <c r="L470" s="216"/>
      <c r="M470" s="217"/>
      <c r="N470" s="253"/>
      <c r="O470" s="22"/>
      <c r="P470" s="150"/>
      <c r="Q470" s="35"/>
      <c r="R470" s="36"/>
      <c r="S470" s="150"/>
      <c r="T470" s="35"/>
      <c r="U470" s="36"/>
      <c r="V470" s="23"/>
      <c r="W470" s="23"/>
    </row>
    <row r="471" hidden="1" outlineLevel="2">
      <c r="A471" s="254"/>
      <c r="B471" s="250"/>
      <c r="C471" s="255"/>
      <c r="D471" s="256"/>
      <c r="E471" s="257" t="s">
        <v>225</v>
      </c>
      <c r="F471" s="190"/>
      <c r="G471" s="258" t="s">
        <v>226</v>
      </c>
      <c r="H471" s="258" t="s">
        <v>226</v>
      </c>
      <c r="I471" s="258" t="s">
        <v>227</v>
      </c>
      <c r="J471" s="258" t="s">
        <v>228</v>
      </c>
      <c r="K471" s="258" t="s">
        <v>229</v>
      </c>
      <c r="L471" s="258" t="s">
        <v>230</v>
      </c>
      <c r="M471" s="259" t="s">
        <v>231</v>
      </c>
      <c r="N471" s="260"/>
      <c r="O471" s="22"/>
      <c r="P471" s="150"/>
      <c r="Q471" s="35"/>
      <c r="R471" s="36"/>
      <c r="S471" s="172"/>
      <c r="T471" s="172"/>
      <c r="U471" s="172"/>
      <c r="V471" s="23"/>
      <c r="W471" s="23"/>
    </row>
    <row r="472" hidden="1" outlineLevel="2">
      <c r="A472" s="261"/>
      <c r="B472" s="255"/>
      <c r="C472" s="219"/>
      <c r="D472" s="12"/>
      <c r="E472" s="262" t="s">
        <v>207</v>
      </c>
      <c r="F472" s="196"/>
      <c r="G472" s="263" t="s">
        <v>232</v>
      </c>
      <c r="H472" s="263" t="s">
        <v>233</v>
      </c>
      <c r="I472" s="263" t="s">
        <v>234</v>
      </c>
      <c r="J472" s="263" t="s">
        <v>235</v>
      </c>
      <c r="K472" s="263" t="s">
        <v>236</v>
      </c>
      <c r="L472" s="263" t="s">
        <v>237</v>
      </c>
      <c r="M472" s="264" t="s">
        <v>237</v>
      </c>
      <c r="N472" s="260"/>
      <c r="O472" s="22"/>
      <c r="P472" s="150"/>
      <c r="Q472" s="35"/>
      <c r="R472" s="36"/>
      <c r="S472" s="172"/>
      <c r="T472" s="172"/>
      <c r="U472" s="172"/>
      <c r="V472" s="23"/>
      <c r="W472" s="23"/>
    </row>
    <row r="473" hidden="1" outlineLevel="2">
      <c r="A473" s="218"/>
      <c r="B473" s="218"/>
      <c r="C473" s="219"/>
      <c r="D473" s="12"/>
      <c r="E473" s="265"/>
      <c r="F473" s="36"/>
      <c r="G473" s="106"/>
      <c r="H473" s="266"/>
      <c r="I473" s="106"/>
      <c r="J473" s="106"/>
      <c r="K473" s="168"/>
      <c r="L473" s="106"/>
      <c r="M473" s="267"/>
      <c r="N473" s="260"/>
      <c r="O473" s="22"/>
      <c r="P473" s="268"/>
      <c r="Q473" s="35"/>
      <c r="R473" s="36"/>
      <c r="S473" s="150"/>
      <c r="T473" s="35"/>
      <c r="U473" s="36"/>
      <c r="V473" s="23"/>
      <c r="W473" s="23"/>
    </row>
    <row r="474" hidden="1" outlineLevel="2">
      <c r="A474" s="218"/>
      <c r="B474" s="218"/>
      <c r="C474" s="43"/>
      <c r="D474" s="12"/>
      <c r="E474" s="265"/>
      <c r="F474" s="36"/>
      <c r="G474" s="106"/>
      <c r="H474" s="266"/>
      <c r="I474" s="18"/>
      <c r="J474" s="18"/>
      <c r="K474" s="165"/>
      <c r="L474" s="18"/>
      <c r="M474" s="269"/>
      <c r="N474" s="260"/>
      <c r="O474" s="22"/>
      <c r="P474" s="268"/>
      <c r="Q474" s="35"/>
      <c r="R474" s="36"/>
      <c r="S474" s="150"/>
      <c r="T474" s="35"/>
      <c r="U474" s="36"/>
      <c r="V474" s="23"/>
      <c r="W474" s="23"/>
    </row>
    <row r="475" hidden="1" outlineLevel="2">
      <c r="A475" s="22"/>
      <c r="B475" s="22"/>
      <c r="C475" s="43"/>
      <c r="D475" s="12"/>
      <c r="E475" s="265"/>
      <c r="F475" s="36"/>
      <c r="G475" s="106"/>
      <c r="H475" s="266"/>
      <c r="I475" s="18"/>
      <c r="J475" s="18"/>
      <c r="K475" s="165"/>
      <c r="L475" s="18"/>
      <c r="M475" s="269"/>
      <c r="N475" s="260"/>
      <c r="O475" s="22"/>
      <c r="P475" s="150"/>
      <c r="Q475" s="35"/>
      <c r="R475" s="36"/>
      <c r="S475" s="150"/>
      <c r="T475" s="35"/>
      <c r="U475" s="36"/>
      <c r="V475" s="23"/>
      <c r="W475" s="23"/>
    </row>
    <row r="476" hidden="1" outlineLevel="2">
      <c r="A476" s="22"/>
      <c r="B476" s="22"/>
      <c r="C476" s="219"/>
      <c r="D476" s="12"/>
      <c r="E476" s="265"/>
      <c r="F476" s="36"/>
      <c r="G476" s="106"/>
      <c r="H476" s="270"/>
      <c r="I476" s="18"/>
      <c r="J476" s="18"/>
      <c r="K476" s="165"/>
      <c r="L476" s="18"/>
      <c r="M476" s="269"/>
      <c r="N476" s="260"/>
      <c r="O476" s="22"/>
      <c r="P476" s="150"/>
      <c r="Q476" s="35"/>
      <c r="R476" s="36"/>
      <c r="S476" s="150"/>
      <c r="T476" s="35"/>
      <c r="U476" s="36"/>
      <c r="V476" s="23"/>
      <c r="W476" s="23"/>
    </row>
    <row r="477" hidden="1" outlineLevel="2">
      <c r="A477" s="218"/>
      <c r="B477" s="218"/>
      <c r="C477" s="219"/>
      <c r="D477" s="12"/>
      <c r="E477" s="265"/>
      <c r="F477" s="36"/>
      <c r="G477" s="18"/>
      <c r="H477" s="270"/>
      <c r="I477" s="18"/>
      <c r="J477" s="18"/>
      <c r="K477" s="165"/>
      <c r="L477" s="18"/>
      <c r="M477" s="269"/>
      <c r="N477" s="260"/>
      <c r="O477" s="22"/>
      <c r="P477" s="150"/>
      <c r="Q477" s="35"/>
      <c r="R477" s="36"/>
      <c r="S477" s="150"/>
      <c r="T477" s="35"/>
      <c r="U477" s="36"/>
      <c r="V477" s="23"/>
      <c r="W477" s="23"/>
    </row>
    <row r="478" hidden="1" outlineLevel="2">
      <c r="A478" s="218"/>
      <c r="B478" s="218"/>
      <c r="C478" s="219"/>
      <c r="D478" s="12"/>
      <c r="E478" s="265"/>
      <c r="F478" s="36"/>
      <c r="G478" s="18"/>
      <c r="H478" s="270"/>
      <c r="I478" s="18"/>
      <c r="J478" s="18"/>
      <c r="K478" s="165"/>
      <c r="L478" s="18"/>
      <c r="M478" s="269"/>
      <c r="N478" s="260"/>
      <c r="O478" s="22"/>
      <c r="P478" s="150"/>
      <c r="Q478" s="35"/>
      <c r="R478" s="36"/>
      <c r="S478" s="150"/>
      <c r="T478" s="35"/>
      <c r="U478" s="36"/>
      <c r="V478" s="23"/>
      <c r="W478" s="23"/>
    </row>
    <row r="479" hidden="1" outlineLevel="2">
      <c r="A479" s="218"/>
      <c r="B479" s="218"/>
      <c r="C479" s="219"/>
      <c r="D479" s="12"/>
      <c r="E479" s="265"/>
      <c r="F479" s="36"/>
      <c r="G479" s="18"/>
      <c r="H479" s="270"/>
      <c r="I479" s="18"/>
      <c r="J479" s="18"/>
      <c r="K479" s="165"/>
      <c r="L479" s="18"/>
      <c r="M479" s="269"/>
      <c r="N479" s="260"/>
      <c r="O479" s="22"/>
      <c r="P479" s="150"/>
      <c r="Q479" s="35"/>
      <c r="R479" s="36"/>
      <c r="S479" s="150"/>
      <c r="T479" s="35"/>
      <c r="U479" s="36"/>
      <c r="V479" s="23"/>
      <c r="W479" s="23"/>
    </row>
    <row r="480" hidden="1" outlineLevel="2">
      <c r="A480" s="218"/>
      <c r="B480" s="218"/>
      <c r="C480" s="219"/>
      <c r="D480" s="271"/>
      <c r="E480" s="272"/>
      <c r="F480" s="273"/>
      <c r="G480" s="274"/>
      <c r="H480" s="275"/>
      <c r="I480" s="274"/>
      <c r="J480" s="274"/>
      <c r="K480" s="276"/>
      <c r="L480" s="274"/>
      <c r="M480" s="277"/>
      <c r="N480" s="260"/>
      <c r="O480" s="22"/>
      <c r="P480" s="150"/>
      <c r="Q480" s="35"/>
      <c r="R480" s="36"/>
      <c r="S480" s="150"/>
      <c r="T480" s="35"/>
      <c r="U480" s="36"/>
      <c r="V480" s="23"/>
      <c r="W480" s="23"/>
    </row>
    <row r="481" collapsed="1">
      <c r="A481" s="146" t="s">
        <v>349</v>
      </c>
      <c r="B481" s="146"/>
      <c r="C481" s="147"/>
      <c r="D481" s="278"/>
      <c r="E481" s="148" t="s">
        <v>239</v>
      </c>
      <c r="F481" s="35"/>
      <c r="G481" s="35"/>
      <c r="H481" s="35"/>
      <c r="I481" s="35"/>
      <c r="J481" s="35"/>
      <c r="K481" s="35"/>
      <c r="L481" s="35"/>
      <c r="M481" s="36"/>
      <c r="N481" s="278"/>
      <c r="O481" s="22"/>
      <c r="P481" s="150"/>
      <c r="Q481" s="35"/>
      <c r="R481" s="36"/>
      <c r="S481" s="150"/>
      <c r="T481" s="35"/>
      <c r="U481" s="36"/>
      <c r="V481" s="23"/>
      <c r="W481" s="23"/>
    </row>
    <row r="482" hidden="1" outlineLevel="1">
      <c r="A482" s="22"/>
      <c r="B482" s="22"/>
      <c r="C482" s="43"/>
      <c r="D482" s="278"/>
      <c r="E482" s="279" t="s">
        <v>350</v>
      </c>
      <c r="F482" s="35"/>
      <c r="G482" s="35"/>
      <c r="H482" s="35"/>
      <c r="I482" s="153"/>
      <c r="J482" s="280" t="s">
        <v>241</v>
      </c>
      <c r="K482" s="35"/>
      <c r="L482" s="36"/>
      <c r="M482" s="266"/>
      <c r="N482" s="281"/>
      <c r="O482" s="22"/>
      <c r="P482" s="150"/>
      <c r="Q482" s="35"/>
      <c r="R482" s="36"/>
      <c r="S482" s="150"/>
      <c r="T482" s="35"/>
      <c r="U482" s="36"/>
      <c r="V482" s="23"/>
      <c r="W482" s="23"/>
    </row>
    <row r="483" hidden="1" outlineLevel="1">
      <c r="A483" s="22"/>
      <c r="B483" s="22"/>
      <c r="C483" s="22"/>
      <c r="D483" s="281"/>
      <c r="E483" s="279" t="s">
        <v>351</v>
      </c>
      <c r="F483" s="35"/>
      <c r="G483" s="35"/>
      <c r="H483" s="35"/>
      <c r="I483" s="35"/>
      <c r="J483" s="282"/>
      <c r="K483" s="283" t="s">
        <v>243</v>
      </c>
      <c r="L483" s="36"/>
      <c r="M483" s="266"/>
      <c r="N483" s="22"/>
      <c r="O483" s="22"/>
      <c r="P483" s="150"/>
      <c r="Q483" s="35"/>
      <c r="R483" s="36"/>
      <c r="S483" s="150"/>
      <c r="T483" s="35"/>
      <c r="U483" s="36"/>
      <c r="V483" s="23"/>
      <c r="W483" s="23"/>
    </row>
    <row r="484" hidden="1" outlineLevel="1">
      <c r="A484" s="22"/>
      <c r="B484" s="22"/>
      <c r="C484" s="22"/>
      <c r="D484" s="22"/>
      <c r="E484" s="279" t="s">
        <v>352</v>
      </c>
      <c r="F484" s="35"/>
      <c r="G484" s="35"/>
      <c r="H484" s="35"/>
      <c r="I484" s="282"/>
      <c r="J484" s="283" t="s">
        <v>245</v>
      </c>
      <c r="K484" s="35"/>
      <c r="L484" s="36"/>
      <c r="M484" s="266"/>
      <c r="N484" s="22"/>
      <c r="O484" s="22"/>
      <c r="P484" s="150"/>
      <c r="Q484" s="35"/>
      <c r="R484" s="36"/>
      <c r="S484" s="150"/>
      <c r="T484" s="35"/>
      <c r="U484" s="36"/>
      <c r="V484" s="23"/>
      <c r="W484" s="23"/>
    </row>
    <row r="485" hidden="1" outlineLevel="1">
      <c r="A485" s="22"/>
      <c r="B485" s="22"/>
      <c r="C485" s="22"/>
      <c r="D485" s="22"/>
      <c r="E485" s="279" t="s">
        <v>353</v>
      </c>
      <c r="F485" s="284"/>
      <c r="G485" s="285"/>
      <c r="H485" s="286" t="s">
        <v>247</v>
      </c>
      <c r="I485" s="35"/>
      <c r="J485" s="153"/>
      <c r="K485" s="287" t="s">
        <v>354</v>
      </c>
      <c r="L485" s="36"/>
      <c r="M485" s="289"/>
      <c r="N485" s="22"/>
      <c r="O485" s="22"/>
      <c r="P485" s="268"/>
      <c r="Q485" s="35"/>
      <c r="R485" s="36"/>
      <c r="S485" s="150"/>
      <c r="T485" s="35"/>
      <c r="U485" s="36"/>
      <c r="V485" s="23"/>
      <c r="W485" s="23"/>
    </row>
    <row r="486" hidden="1" outlineLevel="1">
      <c r="A486" s="22"/>
      <c r="B486" s="22"/>
      <c r="C486" s="22"/>
      <c r="D486" s="22"/>
      <c r="E486" s="279" t="s">
        <v>355</v>
      </c>
      <c r="F486" s="35"/>
      <c r="G486" s="153"/>
      <c r="H486" s="286" t="s">
        <v>250</v>
      </c>
      <c r="I486" s="35"/>
      <c r="J486" s="153"/>
      <c r="K486" s="287" t="s">
        <v>356</v>
      </c>
      <c r="L486" s="36"/>
      <c r="M486" s="289"/>
      <c r="N486" s="22"/>
      <c r="O486" s="22"/>
      <c r="P486" s="268"/>
      <c r="Q486" s="35"/>
      <c r="R486" s="36"/>
      <c r="S486" s="150"/>
      <c r="T486" s="35"/>
      <c r="U486" s="36"/>
      <c r="V486" s="23"/>
      <c r="W486" s="23"/>
    </row>
    <row r="487" hidden="1" outlineLevel="1">
      <c r="A487" s="22"/>
      <c r="B487" s="22"/>
      <c r="C487" s="22"/>
      <c r="D487" s="22"/>
      <c r="E487" s="290" t="s">
        <v>252</v>
      </c>
      <c r="F487" s="10"/>
      <c r="G487" s="10"/>
      <c r="H487" s="10"/>
      <c r="I487" s="10"/>
      <c r="J487" s="10"/>
      <c r="K487" s="10"/>
      <c r="L487" s="10"/>
      <c r="M487" s="11"/>
      <c r="N487" s="22"/>
      <c r="O487" s="22"/>
      <c r="P487" s="150"/>
      <c r="Q487" s="35"/>
      <c r="R487" s="36"/>
      <c r="S487" s="150"/>
      <c r="T487" s="35"/>
      <c r="U487" s="36"/>
      <c r="V487" s="23"/>
      <c r="W487" s="23"/>
    </row>
    <row r="488" hidden="1" outlineLevel="1">
      <c r="A488" s="22"/>
      <c r="B488" s="22"/>
      <c r="C488" s="22"/>
      <c r="D488" s="22"/>
      <c r="E488" s="291" t="s">
        <v>357</v>
      </c>
      <c r="F488" s="292"/>
      <c r="G488" s="292"/>
      <c r="H488" s="292"/>
      <c r="I488" s="286" t="s">
        <v>254</v>
      </c>
      <c r="J488" s="35"/>
      <c r="K488" s="35"/>
      <c r="L488" s="36"/>
      <c r="M488" s="106"/>
      <c r="N488" s="22"/>
      <c r="O488" s="22"/>
      <c r="P488" s="268"/>
      <c r="Q488" s="35"/>
      <c r="R488" s="36"/>
      <c r="S488" s="150"/>
      <c r="T488" s="35"/>
      <c r="U488" s="36"/>
      <c r="V488" s="23"/>
      <c r="W488" s="23"/>
    </row>
    <row r="489" hidden="1" outlineLevel="1">
      <c r="A489" s="22"/>
      <c r="B489" s="22"/>
      <c r="C489" s="22"/>
      <c r="D489" s="22"/>
      <c r="E489" s="293" t="s">
        <v>255</v>
      </c>
      <c r="F489" s="35"/>
      <c r="G489" s="35"/>
      <c r="H489" s="35"/>
      <c r="I489" s="35"/>
      <c r="J489" s="35"/>
      <c r="K489" s="35"/>
      <c r="L489" s="36"/>
      <c r="M489" s="266"/>
      <c r="N489" s="22"/>
      <c r="O489" s="22"/>
      <c r="P489" s="150"/>
      <c r="Q489" s="35"/>
      <c r="R489" s="36"/>
      <c r="S489" s="150"/>
      <c r="T489" s="35"/>
      <c r="U489" s="36"/>
      <c r="V489" s="23"/>
      <c r="W489" s="23"/>
    </row>
    <row r="490" hidden="1" outlineLevel="1">
      <c r="A490" s="22"/>
      <c r="B490" s="22"/>
      <c r="C490" s="22"/>
      <c r="D490" s="22"/>
      <c r="E490" s="294" t="s">
        <v>256</v>
      </c>
      <c r="F490" s="35"/>
      <c r="G490" s="35"/>
      <c r="H490" s="35"/>
      <c r="I490" s="35"/>
      <c r="J490" s="35"/>
      <c r="K490" s="35"/>
      <c r="L490" s="35"/>
      <c r="M490" s="36"/>
      <c r="N490" s="22"/>
      <c r="O490" s="22"/>
      <c r="P490" s="150"/>
      <c r="Q490" s="35"/>
      <c r="R490" s="36"/>
      <c r="S490" s="150"/>
      <c r="T490" s="35"/>
      <c r="U490" s="36"/>
      <c r="V490" s="23"/>
      <c r="W490" s="23"/>
    </row>
    <row r="491" hidden="1" outlineLevel="1">
      <c r="A491" s="22"/>
      <c r="B491" s="22"/>
      <c r="C491" s="22"/>
      <c r="D491" s="22"/>
      <c r="E491" s="295"/>
      <c r="F491" s="10"/>
      <c r="G491" s="10"/>
      <c r="H491" s="10"/>
      <c r="I491" s="10"/>
      <c r="J491" s="10"/>
      <c r="K491" s="10"/>
      <c r="L491" s="10"/>
      <c r="M491" s="11"/>
      <c r="N491" s="22"/>
      <c r="O491" s="22"/>
      <c r="P491" s="150"/>
      <c r="Q491" s="35"/>
      <c r="R491" s="36"/>
      <c r="S491" s="150"/>
      <c r="T491" s="35"/>
      <c r="U491" s="36"/>
      <c r="V491" s="23"/>
      <c r="W491" s="23"/>
    </row>
    <row r="492" hidden="1" outlineLevel="1">
      <c r="A492" s="22"/>
      <c r="B492" s="22"/>
      <c r="C492" s="22"/>
      <c r="D492" s="22"/>
      <c r="E492" s="14"/>
      <c r="F492" s="15"/>
      <c r="G492" s="15"/>
      <c r="H492" s="15"/>
      <c r="I492" s="15"/>
      <c r="J492" s="15"/>
      <c r="K492" s="15"/>
      <c r="L492" s="15"/>
      <c r="M492" s="16"/>
      <c r="N492" s="22"/>
      <c r="O492" s="22"/>
      <c r="P492" s="150"/>
      <c r="Q492" s="35"/>
      <c r="R492" s="36"/>
      <c r="S492" s="150"/>
      <c r="T492" s="35"/>
      <c r="U492" s="36"/>
      <c r="V492" s="23"/>
      <c r="W492" s="23"/>
    </row>
    <row r="493" hidden="1" outlineLevel="1">
      <c r="A493" s="22"/>
      <c r="B493" s="22"/>
      <c r="C493" s="22"/>
      <c r="D493" s="22"/>
      <c r="E493" s="291" t="s">
        <v>358</v>
      </c>
      <c r="F493" s="292"/>
      <c r="G493" s="296"/>
      <c r="H493" s="280" t="s">
        <v>258</v>
      </c>
      <c r="I493" s="35"/>
      <c r="J493" s="35"/>
      <c r="K493" s="35"/>
      <c r="L493" s="35"/>
      <c r="M493" s="106"/>
      <c r="N493" s="22"/>
      <c r="O493" s="22"/>
      <c r="P493" s="150"/>
      <c r="Q493" s="35"/>
      <c r="R493" s="36"/>
      <c r="S493" s="150"/>
      <c r="T493" s="35"/>
      <c r="U493" s="36"/>
      <c r="V493" s="23"/>
      <c r="W493" s="23"/>
    </row>
    <row r="494" hidden="1" outlineLevel="1">
      <c r="A494" s="22"/>
      <c r="B494" s="22"/>
      <c r="C494" s="22"/>
      <c r="D494" s="22"/>
      <c r="E494" s="291" t="s">
        <v>359</v>
      </c>
      <c r="F494" s="296"/>
      <c r="G494" s="280" t="s">
        <v>260</v>
      </c>
      <c r="H494" s="35"/>
      <c r="I494" s="35"/>
      <c r="J494" s="35"/>
      <c r="K494" s="35"/>
      <c r="L494" s="35"/>
      <c r="M494" s="106"/>
      <c r="N494" s="22"/>
      <c r="O494" s="22"/>
      <c r="P494" s="150"/>
      <c r="Q494" s="35"/>
      <c r="R494" s="36"/>
      <c r="S494" s="150"/>
      <c r="T494" s="35"/>
      <c r="U494" s="36"/>
      <c r="V494" s="23"/>
      <c r="W494" s="23"/>
    </row>
    <row r="495" hidden="1" outlineLevel="1">
      <c r="A495" s="297"/>
      <c r="B495" s="297"/>
      <c r="C495" s="43"/>
      <c r="D495" s="43"/>
      <c r="E495" s="298" t="s">
        <v>261</v>
      </c>
      <c r="F495" s="35"/>
      <c r="G495" s="35"/>
      <c r="H495" s="35"/>
      <c r="I495" s="35"/>
      <c r="J495" s="35"/>
      <c r="K495" s="35"/>
      <c r="L495" s="35"/>
      <c r="M495" s="36"/>
      <c r="N495" s="297"/>
      <c r="O495" s="297"/>
      <c r="P495" s="46"/>
      <c r="Q495" s="35"/>
      <c r="R495" s="36"/>
      <c r="S495" s="46"/>
      <c r="T495" s="35"/>
      <c r="U495" s="36"/>
      <c r="V495" s="299"/>
      <c r="W495" s="299"/>
    </row>
    <row r="496" hidden="1" outlineLevel="1">
      <c r="A496" s="297"/>
      <c r="B496" s="297"/>
      <c r="C496" s="43"/>
      <c r="D496" s="43"/>
      <c r="E496" s="298" t="s">
        <v>262</v>
      </c>
      <c r="F496" s="35"/>
      <c r="G496" s="35"/>
      <c r="H496" s="35"/>
      <c r="I496" s="35"/>
      <c r="J496" s="35"/>
      <c r="K496" s="35"/>
      <c r="L496" s="35"/>
      <c r="M496" s="36"/>
      <c r="N496" s="297"/>
      <c r="O496" s="297"/>
      <c r="P496" s="46"/>
      <c r="Q496" s="35"/>
      <c r="R496" s="36"/>
      <c r="S496" s="46"/>
      <c r="T496" s="35"/>
      <c r="U496" s="36"/>
      <c r="V496" s="299"/>
      <c r="W496" s="299"/>
    </row>
    <row r="497" hidden="1" outlineLevel="1">
      <c r="A497" s="306"/>
      <c r="B497" s="297"/>
      <c r="C497" s="297"/>
      <c r="D497" s="297"/>
      <c r="E497" s="312"/>
      <c r="F497" s="312"/>
      <c r="G497" s="312"/>
      <c r="H497" s="312"/>
      <c r="I497" s="312"/>
      <c r="J497" s="312"/>
      <c r="K497" s="312"/>
      <c r="L497" s="312"/>
      <c r="M497" s="312"/>
      <c r="N497" s="297"/>
      <c r="O497" s="297"/>
      <c r="P497" s="297"/>
      <c r="Q497" s="297"/>
      <c r="R497" s="297"/>
      <c r="S497" s="297"/>
      <c r="T497" s="297"/>
      <c r="U497" s="297"/>
      <c r="V497" s="297"/>
      <c r="W497" s="299"/>
    </row>
  </sheetData>
  <mergeCells count="1362">
    <mergeCell ref="E356:J356"/>
    <mergeCell ref="K356:L356"/>
    <mergeCell ref="E357:J357"/>
    <mergeCell ref="K357:L357"/>
    <mergeCell ref="E358:J358"/>
    <mergeCell ref="K358:L358"/>
    <mergeCell ref="K359:L359"/>
    <mergeCell ref="E359:J359"/>
    <mergeCell ref="E360:K360"/>
    <mergeCell ref="E361:J361"/>
    <mergeCell ref="K361:L361"/>
    <mergeCell ref="E362:J362"/>
    <mergeCell ref="K362:L362"/>
    <mergeCell ref="K363:L363"/>
    <mergeCell ref="E383:F383"/>
    <mergeCell ref="E384:F384"/>
    <mergeCell ref="E385:F385"/>
    <mergeCell ref="E386:F386"/>
    <mergeCell ref="D377:D386"/>
    <mergeCell ref="E377:F377"/>
    <mergeCell ref="E378:F378"/>
    <mergeCell ref="E379:F379"/>
    <mergeCell ref="E380:F380"/>
    <mergeCell ref="E381:F381"/>
    <mergeCell ref="E382:F382"/>
    <mergeCell ref="E324:K324"/>
    <mergeCell ref="E325:K325"/>
    <mergeCell ref="E326:K326"/>
    <mergeCell ref="E327:K327"/>
    <mergeCell ref="E328:K328"/>
    <mergeCell ref="E329:K329"/>
    <mergeCell ref="E330:K330"/>
    <mergeCell ref="E331:K331"/>
    <mergeCell ref="E332:K332"/>
    <mergeCell ref="E333:K333"/>
    <mergeCell ref="E334:K334"/>
    <mergeCell ref="E335:K335"/>
    <mergeCell ref="E336:K336"/>
    <mergeCell ref="E337:K337"/>
    <mergeCell ref="E338:K338"/>
    <mergeCell ref="E339:K339"/>
    <mergeCell ref="E340:K340"/>
    <mergeCell ref="E341:K341"/>
    <mergeCell ref="E342:K342"/>
    <mergeCell ref="E343:J343"/>
    <mergeCell ref="K343:L343"/>
    <mergeCell ref="E344:J344"/>
    <mergeCell ref="K344:L344"/>
    <mergeCell ref="E345:K345"/>
    <mergeCell ref="E346:J346"/>
    <mergeCell ref="K346:L346"/>
    <mergeCell ref="E347:J347"/>
    <mergeCell ref="K347:L347"/>
    <mergeCell ref="E348:J348"/>
    <mergeCell ref="K348:L348"/>
    <mergeCell ref="E349:J349"/>
    <mergeCell ref="K349:L349"/>
    <mergeCell ref="E350:K350"/>
    <mergeCell ref="E351:J351"/>
    <mergeCell ref="K351:L351"/>
    <mergeCell ref="E352:J352"/>
    <mergeCell ref="K352:L352"/>
    <mergeCell ref="E353:J353"/>
    <mergeCell ref="K353:L353"/>
    <mergeCell ref="E354:J354"/>
    <mergeCell ref="K354:L354"/>
    <mergeCell ref="E355:K355"/>
    <mergeCell ref="E363:J363"/>
    <mergeCell ref="E364:J364"/>
    <mergeCell ref="K364:L364"/>
    <mergeCell ref="E366:L366"/>
    <mergeCell ref="P264:R264"/>
    <mergeCell ref="P266:R266"/>
    <mergeCell ref="P267:R267"/>
    <mergeCell ref="S267:U267"/>
    <mergeCell ref="P268:R268"/>
    <mergeCell ref="S268:U268"/>
    <mergeCell ref="P269:R269"/>
    <mergeCell ref="S269:U269"/>
    <mergeCell ref="E263:J263"/>
    <mergeCell ref="E264:J264"/>
    <mergeCell ref="K264:L264"/>
    <mergeCell ref="S264:U264"/>
    <mergeCell ref="E265:J265"/>
    <mergeCell ref="K265:L265"/>
    <mergeCell ref="S266:U266"/>
    <mergeCell ref="E266:K266"/>
    <mergeCell ref="E267:J267"/>
    <mergeCell ref="K267:L267"/>
    <mergeCell ref="E268:J268"/>
    <mergeCell ref="K268:L268"/>
    <mergeCell ref="E269:J269"/>
    <mergeCell ref="K269:L269"/>
    <mergeCell ref="E270:J270"/>
    <mergeCell ref="K270:L270"/>
    <mergeCell ref="P270:R270"/>
    <mergeCell ref="S270:U270"/>
    <mergeCell ref="E271:M271"/>
    <mergeCell ref="S271:U271"/>
    <mergeCell ref="S272:U272"/>
    <mergeCell ref="E272:L272"/>
    <mergeCell ref="E273:M273"/>
    <mergeCell ref="L274:M274"/>
    <mergeCell ref="L275:M275"/>
    <mergeCell ref="H276:K276"/>
    <mergeCell ref="L276:M276"/>
    <mergeCell ref="I277:K277"/>
    <mergeCell ref="L277:M277"/>
    <mergeCell ref="L278:M278"/>
    <mergeCell ref="G279:K279"/>
    <mergeCell ref="L279:M279"/>
    <mergeCell ref="L280:M280"/>
    <mergeCell ref="L281:M281"/>
    <mergeCell ref="E282:M282"/>
    <mergeCell ref="S290:U290"/>
    <mergeCell ref="S291:U291"/>
    <mergeCell ref="E293:M293"/>
    <mergeCell ref="P293:R293"/>
    <mergeCell ref="S293:U293"/>
    <mergeCell ref="E288:F288"/>
    <mergeCell ref="E289:F289"/>
    <mergeCell ref="E290:F290"/>
    <mergeCell ref="E291:F291"/>
    <mergeCell ref="H280:K280"/>
    <mergeCell ref="D283:D292"/>
    <mergeCell ref="E283:F283"/>
    <mergeCell ref="E284:F284"/>
    <mergeCell ref="E285:F285"/>
    <mergeCell ref="E286:F286"/>
    <mergeCell ref="E287:F287"/>
    <mergeCell ref="E292:F292"/>
    <mergeCell ref="E294:I294"/>
    <mergeCell ref="J294:L294"/>
    <mergeCell ref="E295:J295"/>
    <mergeCell ref="K295:L295"/>
    <mergeCell ref="E296:I296"/>
    <mergeCell ref="J296:L296"/>
    <mergeCell ref="H297:J297"/>
    <mergeCell ref="K297:L297"/>
    <mergeCell ref="E298:G298"/>
    <mergeCell ref="H298:J298"/>
    <mergeCell ref="K298:L298"/>
    <mergeCell ref="E299:M299"/>
    <mergeCell ref="I300:L300"/>
    <mergeCell ref="E301:L301"/>
    <mergeCell ref="E302:M302"/>
    <mergeCell ref="E303:M304"/>
    <mergeCell ref="H305:L305"/>
    <mergeCell ref="G306:L306"/>
    <mergeCell ref="E307:M307"/>
    <mergeCell ref="E308:M308"/>
    <mergeCell ref="E317:I318"/>
    <mergeCell ref="E320:H320"/>
    <mergeCell ref="I320:M320"/>
    <mergeCell ref="E321:I321"/>
    <mergeCell ref="J321:K321"/>
    <mergeCell ref="L321:M321"/>
    <mergeCell ref="E323:K323"/>
    <mergeCell ref="S397:U397"/>
    <mergeCell ref="S398:U398"/>
    <mergeCell ref="S390:U390"/>
    <mergeCell ref="S391:U391"/>
    <mergeCell ref="S392:U392"/>
    <mergeCell ref="S393:U393"/>
    <mergeCell ref="S394:U394"/>
    <mergeCell ref="S395:U395"/>
    <mergeCell ref="S396:U396"/>
    <mergeCell ref="P369:R369"/>
    <mergeCell ref="P370:R370"/>
    <mergeCell ref="S370:U370"/>
    <mergeCell ref="P371:R371"/>
    <mergeCell ref="S371:U371"/>
    <mergeCell ref="P372:R372"/>
    <mergeCell ref="S373:U373"/>
    <mergeCell ref="P373:R373"/>
    <mergeCell ref="P374:R374"/>
    <mergeCell ref="P375:R375"/>
    <mergeCell ref="P376:R376"/>
    <mergeCell ref="S376:U376"/>
    <mergeCell ref="P377:R377"/>
    <mergeCell ref="P378:R378"/>
    <mergeCell ref="P379:R379"/>
    <mergeCell ref="S379:U379"/>
    <mergeCell ref="P380:R380"/>
    <mergeCell ref="S380:U380"/>
    <mergeCell ref="P381:R381"/>
    <mergeCell ref="S381:U381"/>
    <mergeCell ref="S382:U382"/>
    <mergeCell ref="P382:R382"/>
    <mergeCell ref="P383:R383"/>
    <mergeCell ref="P384:R384"/>
    <mergeCell ref="P385:R385"/>
    <mergeCell ref="P386:R386"/>
    <mergeCell ref="P387:R387"/>
    <mergeCell ref="P388:R388"/>
    <mergeCell ref="S383:U383"/>
    <mergeCell ref="S384:U384"/>
    <mergeCell ref="S385:U385"/>
    <mergeCell ref="S386:U386"/>
    <mergeCell ref="S387:U387"/>
    <mergeCell ref="S388:U388"/>
    <mergeCell ref="S389:U389"/>
    <mergeCell ref="P396:R396"/>
    <mergeCell ref="P397:R397"/>
    <mergeCell ref="P398:R398"/>
    <mergeCell ref="P389:R389"/>
    <mergeCell ref="P390:R390"/>
    <mergeCell ref="P391:R391"/>
    <mergeCell ref="P392:R392"/>
    <mergeCell ref="P393:R393"/>
    <mergeCell ref="P394:R394"/>
    <mergeCell ref="P395:R395"/>
    <mergeCell ref="P276:R276"/>
    <mergeCell ref="P277:R277"/>
    <mergeCell ref="P278:R278"/>
    <mergeCell ref="P279:R279"/>
    <mergeCell ref="P271:R271"/>
    <mergeCell ref="P272:R272"/>
    <mergeCell ref="P273:R273"/>
    <mergeCell ref="S273:U273"/>
    <mergeCell ref="P274:R274"/>
    <mergeCell ref="P275:R275"/>
    <mergeCell ref="S276:U276"/>
    <mergeCell ref="P284:R284"/>
    <mergeCell ref="P285:R285"/>
    <mergeCell ref="S285:U285"/>
    <mergeCell ref="S277:U277"/>
    <mergeCell ref="S279:U279"/>
    <mergeCell ref="P280:R280"/>
    <mergeCell ref="P281:R281"/>
    <mergeCell ref="P282:R282"/>
    <mergeCell ref="S282:U282"/>
    <mergeCell ref="P283:R283"/>
    <mergeCell ref="S323:U323"/>
    <mergeCell ref="S324:U324"/>
    <mergeCell ref="S306:U306"/>
    <mergeCell ref="S307:U307"/>
    <mergeCell ref="S308:U308"/>
    <mergeCell ref="S319:U319"/>
    <mergeCell ref="S320:U320"/>
    <mergeCell ref="S321:U321"/>
    <mergeCell ref="S322:U322"/>
    <mergeCell ref="P298:R298"/>
    <mergeCell ref="P299:R299"/>
    <mergeCell ref="P300:R300"/>
    <mergeCell ref="P301:R301"/>
    <mergeCell ref="P302:R302"/>
    <mergeCell ref="P303:R303"/>
    <mergeCell ref="P304:R304"/>
    <mergeCell ref="S299:U299"/>
    <mergeCell ref="S300:U300"/>
    <mergeCell ref="S301:U301"/>
    <mergeCell ref="S302:U302"/>
    <mergeCell ref="S303:U303"/>
    <mergeCell ref="S304:U304"/>
    <mergeCell ref="S305:U305"/>
    <mergeCell ref="P286:R286"/>
    <mergeCell ref="S286:U286"/>
    <mergeCell ref="P287:R287"/>
    <mergeCell ref="S287:U287"/>
    <mergeCell ref="P288:R288"/>
    <mergeCell ref="S288:U288"/>
    <mergeCell ref="S289:U289"/>
    <mergeCell ref="P289:R289"/>
    <mergeCell ref="P290:R290"/>
    <mergeCell ref="P291:R291"/>
    <mergeCell ref="P292:R292"/>
    <mergeCell ref="S292:U292"/>
    <mergeCell ref="P294:R294"/>
    <mergeCell ref="S294:U294"/>
    <mergeCell ref="P295:R295"/>
    <mergeCell ref="S295:U295"/>
    <mergeCell ref="P296:R296"/>
    <mergeCell ref="S296:U296"/>
    <mergeCell ref="P297:R297"/>
    <mergeCell ref="S297:U297"/>
    <mergeCell ref="S298:U298"/>
    <mergeCell ref="P322:R322"/>
    <mergeCell ref="P323:R323"/>
    <mergeCell ref="P324:R324"/>
    <mergeCell ref="P325:R325"/>
    <mergeCell ref="S325:U325"/>
    <mergeCell ref="P326:R326"/>
    <mergeCell ref="S326:U326"/>
    <mergeCell ref="P305:R305"/>
    <mergeCell ref="P306:R306"/>
    <mergeCell ref="P307:R307"/>
    <mergeCell ref="P308:R308"/>
    <mergeCell ref="P319:R319"/>
    <mergeCell ref="P320:R320"/>
    <mergeCell ref="P321:R321"/>
    <mergeCell ref="P357:R357"/>
    <mergeCell ref="P358:R358"/>
    <mergeCell ref="P359:R359"/>
    <mergeCell ref="P360:R360"/>
    <mergeCell ref="P361:R361"/>
    <mergeCell ref="P362:R362"/>
    <mergeCell ref="P363:R363"/>
    <mergeCell ref="P364:R364"/>
    <mergeCell ref="P365:R365"/>
    <mergeCell ref="P366:R366"/>
    <mergeCell ref="S366:U366"/>
    <mergeCell ref="P367:R367"/>
    <mergeCell ref="S367:U367"/>
    <mergeCell ref="P368:R368"/>
    <mergeCell ref="E415:I415"/>
    <mergeCell ref="E417:K417"/>
    <mergeCell ref="E418:K418"/>
    <mergeCell ref="E414:H414"/>
    <mergeCell ref="I414:M414"/>
    <mergeCell ref="P414:R414"/>
    <mergeCell ref="J415:K415"/>
    <mergeCell ref="L415:M415"/>
    <mergeCell ref="P415:R415"/>
    <mergeCell ref="P416:R416"/>
    <mergeCell ref="S449:U449"/>
    <mergeCell ref="S450:U450"/>
    <mergeCell ref="S451:U451"/>
    <mergeCell ref="S452:U452"/>
    <mergeCell ref="S453:U453"/>
    <mergeCell ref="S454:U454"/>
    <mergeCell ref="S455:U455"/>
    <mergeCell ref="S456:U456"/>
    <mergeCell ref="S457:U457"/>
    <mergeCell ref="S458:U458"/>
    <mergeCell ref="S459:U459"/>
    <mergeCell ref="S460:U460"/>
    <mergeCell ref="S461:U461"/>
    <mergeCell ref="S464:U464"/>
    <mergeCell ref="S465:U465"/>
    <mergeCell ref="S467:U467"/>
    <mergeCell ref="S470:U470"/>
    <mergeCell ref="S473:U473"/>
    <mergeCell ref="S474:U474"/>
    <mergeCell ref="S475:U475"/>
    <mergeCell ref="S476:U476"/>
    <mergeCell ref="S477:U477"/>
    <mergeCell ref="S478:U478"/>
    <mergeCell ref="S479:U479"/>
    <mergeCell ref="S480:U480"/>
    <mergeCell ref="S481:U481"/>
    <mergeCell ref="S482:U482"/>
    <mergeCell ref="S483:U483"/>
    <mergeCell ref="S491:U491"/>
    <mergeCell ref="S492:U492"/>
    <mergeCell ref="S493:U493"/>
    <mergeCell ref="S494:U494"/>
    <mergeCell ref="S495:U495"/>
    <mergeCell ref="S496:U496"/>
    <mergeCell ref="S484:U484"/>
    <mergeCell ref="S485:U485"/>
    <mergeCell ref="S486:U486"/>
    <mergeCell ref="S487:U487"/>
    <mergeCell ref="S488:U488"/>
    <mergeCell ref="S489:U489"/>
    <mergeCell ref="S490:U490"/>
    <mergeCell ref="S357:U357"/>
    <mergeCell ref="S358:U358"/>
    <mergeCell ref="S359:U359"/>
    <mergeCell ref="S360:U360"/>
    <mergeCell ref="S361:U361"/>
    <mergeCell ref="S362:U362"/>
    <mergeCell ref="S363:U363"/>
    <mergeCell ref="S364:U364"/>
    <mergeCell ref="S365:U365"/>
    <mergeCell ref="S399:U399"/>
    <mergeCell ref="S400:U400"/>
    <mergeCell ref="S401:U401"/>
    <mergeCell ref="S402:U402"/>
    <mergeCell ref="S413:U413"/>
    <mergeCell ref="S414:U414"/>
    <mergeCell ref="S415:U415"/>
    <mergeCell ref="S416:U416"/>
    <mergeCell ref="S417:U417"/>
    <mergeCell ref="S418:U418"/>
    <mergeCell ref="S419:U419"/>
    <mergeCell ref="S420:U420"/>
    <mergeCell ref="S421:U421"/>
    <mergeCell ref="S422:U422"/>
    <mergeCell ref="S423:U423"/>
    <mergeCell ref="S424:U424"/>
    <mergeCell ref="S425:U425"/>
    <mergeCell ref="S426:U426"/>
    <mergeCell ref="S427:U427"/>
    <mergeCell ref="S428:U428"/>
    <mergeCell ref="S429:U429"/>
    <mergeCell ref="S430:U430"/>
    <mergeCell ref="S431:U431"/>
    <mergeCell ref="S432:U432"/>
    <mergeCell ref="S433:U433"/>
    <mergeCell ref="S434:U434"/>
    <mergeCell ref="S435:U435"/>
    <mergeCell ref="S436:U436"/>
    <mergeCell ref="S437:U437"/>
    <mergeCell ref="S438:U438"/>
    <mergeCell ref="S439:U439"/>
    <mergeCell ref="S440:U440"/>
    <mergeCell ref="S441:U441"/>
    <mergeCell ref="S442:U442"/>
    <mergeCell ref="S443:U443"/>
    <mergeCell ref="S444:U444"/>
    <mergeCell ref="S445:U445"/>
    <mergeCell ref="S446:U446"/>
    <mergeCell ref="S447:U447"/>
    <mergeCell ref="S448:U448"/>
    <mergeCell ref="P432:R432"/>
    <mergeCell ref="P433:R433"/>
    <mergeCell ref="E434:K434"/>
    <mergeCell ref="P434:R434"/>
    <mergeCell ref="E435:K435"/>
    <mergeCell ref="P435:R435"/>
    <mergeCell ref="P436:R436"/>
    <mergeCell ref="E436:K436"/>
    <mergeCell ref="E437:J437"/>
    <mergeCell ref="K437:L437"/>
    <mergeCell ref="P437:R437"/>
    <mergeCell ref="E438:J438"/>
    <mergeCell ref="K438:L438"/>
    <mergeCell ref="E439:K439"/>
    <mergeCell ref="E365:M365"/>
    <mergeCell ref="E367:M367"/>
    <mergeCell ref="L368:M368"/>
    <mergeCell ref="L369:M369"/>
    <mergeCell ref="H370:K370"/>
    <mergeCell ref="L370:M370"/>
    <mergeCell ref="I371:K371"/>
    <mergeCell ref="L371:M371"/>
    <mergeCell ref="L372:M372"/>
    <mergeCell ref="G373:K373"/>
    <mergeCell ref="L373:M373"/>
    <mergeCell ref="H374:K374"/>
    <mergeCell ref="L374:M374"/>
    <mergeCell ref="L375:M375"/>
    <mergeCell ref="E376:M376"/>
    <mergeCell ref="E387:M387"/>
    <mergeCell ref="E388:I388"/>
    <mergeCell ref="J388:L388"/>
    <mergeCell ref="E389:J389"/>
    <mergeCell ref="K389:L389"/>
    <mergeCell ref="E390:I390"/>
    <mergeCell ref="J390:L390"/>
    <mergeCell ref="H391:J391"/>
    <mergeCell ref="K391:L391"/>
    <mergeCell ref="E392:G392"/>
    <mergeCell ref="H392:J392"/>
    <mergeCell ref="K392:L392"/>
    <mergeCell ref="E393:M393"/>
    <mergeCell ref="I394:L394"/>
    <mergeCell ref="E395:L395"/>
    <mergeCell ref="E396:M396"/>
    <mergeCell ref="E397:M398"/>
    <mergeCell ref="H399:L399"/>
    <mergeCell ref="P399:R399"/>
    <mergeCell ref="P400:R400"/>
    <mergeCell ref="G400:L400"/>
    <mergeCell ref="E401:M401"/>
    <mergeCell ref="P401:R401"/>
    <mergeCell ref="E402:M402"/>
    <mergeCell ref="P402:R402"/>
    <mergeCell ref="E411:I412"/>
    <mergeCell ref="P413:R413"/>
    <mergeCell ref="P458:R458"/>
    <mergeCell ref="P459:R459"/>
    <mergeCell ref="E473:F473"/>
    <mergeCell ref="E474:F474"/>
    <mergeCell ref="E475:F475"/>
    <mergeCell ref="E476:F476"/>
    <mergeCell ref="E477:F477"/>
    <mergeCell ref="E478:F478"/>
    <mergeCell ref="E479:F479"/>
    <mergeCell ref="E480:F480"/>
    <mergeCell ref="G467:K467"/>
    <mergeCell ref="L467:M467"/>
    <mergeCell ref="H468:K468"/>
    <mergeCell ref="L468:M468"/>
    <mergeCell ref="L469:M469"/>
    <mergeCell ref="E470:M470"/>
    <mergeCell ref="D471:D480"/>
    <mergeCell ref="H485:J485"/>
    <mergeCell ref="K485:L485"/>
    <mergeCell ref="E486:G486"/>
    <mergeCell ref="H486:J486"/>
    <mergeCell ref="K486:L486"/>
    <mergeCell ref="E487:M487"/>
    <mergeCell ref="E481:M481"/>
    <mergeCell ref="E482:I482"/>
    <mergeCell ref="J482:L482"/>
    <mergeCell ref="E483:J483"/>
    <mergeCell ref="K483:L483"/>
    <mergeCell ref="E484:I484"/>
    <mergeCell ref="J484:L484"/>
    <mergeCell ref="P453:R453"/>
    <mergeCell ref="P454:R454"/>
    <mergeCell ref="E455:J455"/>
    <mergeCell ref="K455:L455"/>
    <mergeCell ref="P455:R455"/>
    <mergeCell ref="K456:L456"/>
    <mergeCell ref="P456:R456"/>
    <mergeCell ref="E456:J456"/>
    <mergeCell ref="E457:J457"/>
    <mergeCell ref="K457:L457"/>
    <mergeCell ref="P457:R457"/>
    <mergeCell ref="E458:J458"/>
    <mergeCell ref="K458:L458"/>
    <mergeCell ref="E459:M459"/>
    <mergeCell ref="E460:L460"/>
    <mergeCell ref="P460:R460"/>
    <mergeCell ref="E461:M461"/>
    <mergeCell ref="P461:R461"/>
    <mergeCell ref="L462:M462"/>
    <mergeCell ref="P462:R462"/>
    <mergeCell ref="P463:R463"/>
    <mergeCell ref="L463:M463"/>
    <mergeCell ref="H464:K464"/>
    <mergeCell ref="L464:M464"/>
    <mergeCell ref="P464:R464"/>
    <mergeCell ref="I465:K465"/>
    <mergeCell ref="L465:M465"/>
    <mergeCell ref="L466:M466"/>
    <mergeCell ref="E471:F471"/>
    <mergeCell ref="E472:F472"/>
    <mergeCell ref="P465:R465"/>
    <mergeCell ref="P466:R466"/>
    <mergeCell ref="P467:R467"/>
    <mergeCell ref="P468:R468"/>
    <mergeCell ref="P469:R469"/>
    <mergeCell ref="P470:R470"/>
    <mergeCell ref="P471:R471"/>
    <mergeCell ref="P472:R472"/>
    <mergeCell ref="P473:R473"/>
    <mergeCell ref="P474:R474"/>
    <mergeCell ref="P475:R475"/>
    <mergeCell ref="P476:R476"/>
    <mergeCell ref="P477:R477"/>
    <mergeCell ref="P478:R478"/>
    <mergeCell ref="E421:K421"/>
    <mergeCell ref="E422:K422"/>
    <mergeCell ref="E423:K423"/>
    <mergeCell ref="P417:R417"/>
    <mergeCell ref="P418:R418"/>
    <mergeCell ref="E419:K419"/>
    <mergeCell ref="P419:R419"/>
    <mergeCell ref="E420:K420"/>
    <mergeCell ref="P420:R420"/>
    <mergeCell ref="P421:R421"/>
    <mergeCell ref="E426:K426"/>
    <mergeCell ref="E427:K427"/>
    <mergeCell ref="E428:K428"/>
    <mergeCell ref="P422:R422"/>
    <mergeCell ref="P423:R423"/>
    <mergeCell ref="E424:K424"/>
    <mergeCell ref="P424:R424"/>
    <mergeCell ref="E425:K425"/>
    <mergeCell ref="P425:R425"/>
    <mergeCell ref="P426:R426"/>
    <mergeCell ref="E431:K431"/>
    <mergeCell ref="E432:K432"/>
    <mergeCell ref="E433:K433"/>
    <mergeCell ref="P427:R427"/>
    <mergeCell ref="P428:R428"/>
    <mergeCell ref="E429:K429"/>
    <mergeCell ref="P429:R429"/>
    <mergeCell ref="E430:K430"/>
    <mergeCell ref="P430:R430"/>
    <mergeCell ref="P431:R431"/>
    <mergeCell ref="P438:R438"/>
    <mergeCell ref="P439:R439"/>
    <mergeCell ref="E440:J440"/>
    <mergeCell ref="K440:L440"/>
    <mergeCell ref="P440:R440"/>
    <mergeCell ref="K441:L441"/>
    <mergeCell ref="P441:R441"/>
    <mergeCell ref="E441:J441"/>
    <mergeCell ref="E442:J442"/>
    <mergeCell ref="K442:L442"/>
    <mergeCell ref="P442:R442"/>
    <mergeCell ref="E443:J443"/>
    <mergeCell ref="K443:L443"/>
    <mergeCell ref="E444:K444"/>
    <mergeCell ref="P443:R443"/>
    <mergeCell ref="P444:R444"/>
    <mergeCell ref="E445:J445"/>
    <mergeCell ref="K445:L445"/>
    <mergeCell ref="P445:R445"/>
    <mergeCell ref="K446:L446"/>
    <mergeCell ref="P446:R446"/>
    <mergeCell ref="E446:J446"/>
    <mergeCell ref="E447:J447"/>
    <mergeCell ref="K447:L447"/>
    <mergeCell ref="P447:R447"/>
    <mergeCell ref="E448:J448"/>
    <mergeCell ref="K448:L448"/>
    <mergeCell ref="E449:K449"/>
    <mergeCell ref="P448:R448"/>
    <mergeCell ref="P449:R449"/>
    <mergeCell ref="E450:J450"/>
    <mergeCell ref="K450:L450"/>
    <mergeCell ref="P450:R450"/>
    <mergeCell ref="K451:L451"/>
    <mergeCell ref="P451:R451"/>
    <mergeCell ref="E451:J451"/>
    <mergeCell ref="E452:J452"/>
    <mergeCell ref="K452:L452"/>
    <mergeCell ref="P452:R452"/>
    <mergeCell ref="E453:J453"/>
    <mergeCell ref="K453:L453"/>
    <mergeCell ref="E454:K454"/>
    <mergeCell ref="P479:R479"/>
    <mergeCell ref="P480:R480"/>
    <mergeCell ref="P481:R481"/>
    <mergeCell ref="P482:R482"/>
    <mergeCell ref="P483:R483"/>
    <mergeCell ref="P484:R484"/>
    <mergeCell ref="P485:R485"/>
    <mergeCell ref="E490:M490"/>
    <mergeCell ref="E491:M492"/>
    <mergeCell ref="H493:L493"/>
    <mergeCell ref="G494:L494"/>
    <mergeCell ref="E495:M495"/>
    <mergeCell ref="E496:M496"/>
    <mergeCell ref="P491:R491"/>
    <mergeCell ref="P492:R492"/>
    <mergeCell ref="P493:R493"/>
    <mergeCell ref="P494:R494"/>
    <mergeCell ref="P495:R495"/>
    <mergeCell ref="P496:R496"/>
    <mergeCell ref="P486:R486"/>
    <mergeCell ref="P487:R487"/>
    <mergeCell ref="I488:L488"/>
    <mergeCell ref="P488:R488"/>
    <mergeCell ref="E489:L489"/>
    <mergeCell ref="P489:R489"/>
    <mergeCell ref="P490:R490"/>
    <mergeCell ref="L92:M92"/>
    <mergeCell ref="L93:M93"/>
    <mergeCell ref="E94:M94"/>
    <mergeCell ref="D95:D104"/>
    <mergeCell ref="E95:F95"/>
    <mergeCell ref="E96:F96"/>
    <mergeCell ref="E97:F97"/>
    <mergeCell ref="E104:F104"/>
    <mergeCell ref="E105:M105"/>
    <mergeCell ref="E106:I106"/>
    <mergeCell ref="J106:L106"/>
    <mergeCell ref="E107:J107"/>
    <mergeCell ref="K107:L107"/>
    <mergeCell ref="E108:I108"/>
    <mergeCell ref="E79:J79"/>
    <mergeCell ref="K79:L79"/>
    <mergeCell ref="E80:J80"/>
    <mergeCell ref="K80:L80"/>
    <mergeCell ref="E81:J81"/>
    <mergeCell ref="K81:L81"/>
    <mergeCell ref="K82:L82"/>
    <mergeCell ref="E82:J82"/>
    <mergeCell ref="E83:M83"/>
    <mergeCell ref="E84:L84"/>
    <mergeCell ref="E85:M85"/>
    <mergeCell ref="L86:M86"/>
    <mergeCell ref="L87:M87"/>
    <mergeCell ref="L88:M88"/>
    <mergeCell ref="H88:K88"/>
    <mergeCell ref="I89:K89"/>
    <mergeCell ref="L89:M89"/>
    <mergeCell ref="L90:M90"/>
    <mergeCell ref="G91:K91"/>
    <mergeCell ref="L91:M91"/>
    <mergeCell ref="H92:K92"/>
    <mergeCell ref="E98:F98"/>
    <mergeCell ref="E99:F99"/>
    <mergeCell ref="E100:F100"/>
    <mergeCell ref="E101:F101"/>
    <mergeCell ref="E102:F102"/>
    <mergeCell ref="E103:F103"/>
    <mergeCell ref="J108:L108"/>
    <mergeCell ref="H109:J109"/>
    <mergeCell ref="K109:L109"/>
    <mergeCell ref="E110:G110"/>
    <mergeCell ref="H110:J110"/>
    <mergeCell ref="K110:L110"/>
    <mergeCell ref="E111:M111"/>
    <mergeCell ref="S166:U166"/>
    <mergeCell ref="S167:U167"/>
    <mergeCell ref="S159:U159"/>
    <mergeCell ref="S160:U160"/>
    <mergeCell ref="S161:U161"/>
    <mergeCell ref="S162:U162"/>
    <mergeCell ref="S163:U163"/>
    <mergeCell ref="S164:U164"/>
    <mergeCell ref="S165:U165"/>
    <mergeCell ref="S97:U97"/>
    <mergeCell ref="S98:U98"/>
    <mergeCell ref="S99:U99"/>
    <mergeCell ref="S100:U100"/>
    <mergeCell ref="S101:U101"/>
    <mergeCell ref="S102:U102"/>
    <mergeCell ref="S103:U103"/>
    <mergeCell ref="S104:U104"/>
    <mergeCell ref="S105:U105"/>
    <mergeCell ref="S106:U106"/>
    <mergeCell ref="S107:U107"/>
    <mergeCell ref="S108:U108"/>
    <mergeCell ref="S109:U109"/>
    <mergeCell ref="S110:U110"/>
    <mergeCell ref="S111:U111"/>
    <mergeCell ref="S112:U112"/>
    <mergeCell ref="S113:U113"/>
    <mergeCell ref="S114:U114"/>
    <mergeCell ref="S115:U115"/>
    <mergeCell ref="S116:U116"/>
    <mergeCell ref="S117:U117"/>
    <mergeCell ref="S118:U118"/>
    <mergeCell ref="S119:U119"/>
    <mergeCell ref="S120:U120"/>
    <mergeCell ref="S131:U131"/>
    <mergeCell ref="S132:U132"/>
    <mergeCell ref="S133:U133"/>
    <mergeCell ref="S134:U134"/>
    <mergeCell ref="S135:U135"/>
    <mergeCell ref="S136:U136"/>
    <mergeCell ref="S137:U137"/>
    <mergeCell ref="S138:U138"/>
    <mergeCell ref="S139:U139"/>
    <mergeCell ref="S140:U140"/>
    <mergeCell ref="S141:U141"/>
    <mergeCell ref="S142:U142"/>
    <mergeCell ref="S143:U143"/>
    <mergeCell ref="S144:U144"/>
    <mergeCell ref="S145:U145"/>
    <mergeCell ref="S146:U146"/>
    <mergeCell ref="S147:U147"/>
    <mergeCell ref="S148:U148"/>
    <mergeCell ref="S149:U149"/>
    <mergeCell ref="S150:U150"/>
    <mergeCell ref="S151:U151"/>
    <mergeCell ref="S152:U152"/>
    <mergeCell ref="S153:U153"/>
    <mergeCell ref="S157:U157"/>
    <mergeCell ref="S158:U158"/>
    <mergeCell ref="E159:J159"/>
    <mergeCell ref="E160:J160"/>
    <mergeCell ref="K160:L160"/>
    <mergeCell ref="E161:J161"/>
    <mergeCell ref="K161:L161"/>
    <mergeCell ref="E162:K162"/>
    <mergeCell ref="K163:L163"/>
    <mergeCell ref="E163:J163"/>
    <mergeCell ref="E164:J164"/>
    <mergeCell ref="K164:L164"/>
    <mergeCell ref="E165:J165"/>
    <mergeCell ref="K165:L165"/>
    <mergeCell ref="E166:J166"/>
    <mergeCell ref="K166:L166"/>
    <mergeCell ref="I112:L112"/>
    <mergeCell ref="E113:L113"/>
    <mergeCell ref="E114:M114"/>
    <mergeCell ref="E115:M116"/>
    <mergeCell ref="H117:L117"/>
    <mergeCell ref="G118:L118"/>
    <mergeCell ref="E119:M119"/>
    <mergeCell ref="E120:M120"/>
    <mergeCell ref="E129:I130"/>
    <mergeCell ref="E132:H132"/>
    <mergeCell ref="I132:M132"/>
    <mergeCell ref="E133:I133"/>
    <mergeCell ref="J133:K133"/>
    <mergeCell ref="L133:M133"/>
    <mergeCell ref="E135:K135"/>
    <mergeCell ref="E136:K136"/>
    <mergeCell ref="E137:K137"/>
    <mergeCell ref="E138:K138"/>
    <mergeCell ref="E139:K139"/>
    <mergeCell ref="E140:K140"/>
    <mergeCell ref="E141:K141"/>
    <mergeCell ref="E142:K142"/>
    <mergeCell ref="E143:K143"/>
    <mergeCell ref="E144:K144"/>
    <mergeCell ref="E145:K145"/>
    <mergeCell ref="E146:K146"/>
    <mergeCell ref="E147:K147"/>
    <mergeCell ref="E148:K148"/>
    <mergeCell ref="E149:K149"/>
    <mergeCell ref="E150:K150"/>
    <mergeCell ref="E151:K151"/>
    <mergeCell ref="E152:K152"/>
    <mergeCell ref="E153:K153"/>
    <mergeCell ref="E154:K154"/>
    <mergeCell ref="K155:L155"/>
    <mergeCell ref="E155:J155"/>
    <mergeCell ref="E156:J156"/>
    <mergeCell ref="K156:L156"/>
    <mergeCell ref="E157:K157"/>
    <mergeCell ref="E158:J158"/>
    <mergeCell ref="K158:L158"/>
    <mergeCell ref="K159:L159"/>
    <mergeCell ref="E167:K167"/>
    <mergeCell ref="E168:J168"/>
    <mergeCell ref="K168:L168"/>
    <mergeCell ref="E169:J169"/>
    <mergeCell ref="K169:L169"/>
    <mergeCell ref="E170:J170"/>
    <mergeCell ref="K170:L170"/>
    <mergeCell ref="E197:F197"/>
    <mergeCell ref="E198:F198"/>
    <mergeCell ref="G185:K185"/>
    <mergeCell ref="L185:M185"/>
    <mergeCell ref="H186:K186"/>
    <mergeCell ref="L186:M186"/>
    <mergeCell ref="L187:M187"/>
    <mergeCell ref="E188:M188"/>
    <mergeCell ref="D189:D198"/>
    <mergeCell ref="E199:M199"/>
    <mergeCell ref="E200:I200"/>
    <mergeCell ref="J200:L200"/>
    <mergeCell ref="E201:J201"/>
    <mergeCell ref="K201:L201"/>
    <mergeCell ref="E202:I202"/>
    <mergeCell ref="J202:L202"/>
    <mergeCell ref="E207:L207"/>
    <mergeCell ref="E208:M208"/>
    <mergeCell ref="E209:M210"/>
    <mergeCell ref="H211:L211"/>
    <mergeCell ref="G212:L212"/>
    <mergeCell ref="E213:M213"/>
    <mergeCell ref="E214:M214"/>
    <mergeCell ref="E223:I224"/>
    <mergeCell ref="H203:J203"/>
    <mergeCell ref="K203:L203"/>
    <mergeCell ref="E204:G204"/>
    <mergeCell ref="H204:J204"/>
    <mergeCell ref="K204:L204"/>
    <mergeCell ref="E205:M205"/>
    <mergeCell ref="I206:L206"/>
    <mergeCell ref="E171:J171"/>
    <mergeCell ref="K171:L171"/>
    <mergeCell ref="E172:K172"/>
    <mergeCell ref="E173:J173"/>
    <mergeCell ref="K173:L173"/>
    <mergeCell ref="E174:J174"/>
    <mergeCell ref="K174:L174"/>
    <mergeCell ref="E175:J175"/>
    <mergeCell ref="K175:L175"/>
    <mergeCell ref="E176:J176"/>
    <mergeCell ref="K176:L176"/>
    <mergeCell ref="E177:M177"/>
    <mergeCell ref="E178:L178"/>
    <mergeCell ref="E179:M179"/>
    <mergeCell ref="L180:M180"/>
    <mergeCell ref="L181:M181"/>
    <mergeCell ref="H182:K182"/>
    <mergeCell ref="L182:M182"/>
    <mergeCell ref="I183:K183"/>
    <mergeCell ref="L183:M183"/>
    <mergeCell ref="L184:M184"/>
    <mergeCell ref="E189:F189"/>
    <mergeCell ref="E190:F190"/>
    <mergeCell ref="E191:F191"/>
    <mergeCell ref="E192:F192"/>
    <mergeCell ref="E193:F193"/>
    <mergeCell ref="E194:F194"/>
    <mergeCell ref="E195:F195"/>
    <mergeCell ref="E196:F196"/>
    <mergeCell ref="S56:U56"/>
    <mergeCell ref="S57:U57"/>
    <mergeCell ref="S49:U49"/>
    <mergeCell ref="S50:U50"/>
    <mergeCell ref="S51:U51"/>
    <mergeCell ref="S52:U52"/>
    <mergeCell ref="S53:U53"/>
    <mergeCell ref="S54:U54"/>
    <mergeCell ref="S55:U55"/>
    <mergeCell ref="C12:C13"/>
    <mergeCell ref="E12:J13"/>
    <mergeCell ref="E17:J18"/>
    <mergeCell ref="E35:I36"/>
    <mergeCell ref="S37:U37"/>
    <mergeCell ref="I38:M38"/>
    <mergeCell ref="S38:U38"/>
    <mergeCell ref="P37:R37"/>
    <mergeCell ref="P38:R38"/>
    <mergeCell ref="P39:R39"/>
    <mergeCell ref="S39:U39"/>
    <mergeCell ref="P40:R40"/>
    <mergeCell ref="S40:U40"/>
    <mergeCell ref="S41:U41"/>
    <mergeCell ref="E38:H38"/>
    <mergeCell ref="E39:I39"/>
    <mergeCell ref="J39:K39"/>
    <mergeCell ref="L39:M39"/>
    <mergeCell ref="E41:K41"/>
    <mergeCell ref="E42:K42"/>
    <mergeCell ref="E43:K43"/>
    <mergeCell ref="P41:R41"/>
    <mergeCell ref="P42:R42"/>
    <mergeCell ref="P43:R43"/>
    <mergeCell ref="P44:R44"/>
    <mergeCell ref="P45:R45"/>
    <mergeCell ref="P46:R46"/>
    <mergeCell ref="P47:R47"/>
    <mergeCell ref="S42:U42"/>
    <mergeCell ref="S43:U43"/>
    <mergeCell ref="S44:U44"/>
    <mergeCell ref="S45:U45"/>
    <mergeCell ref="S46:U46"/>
    <mergeCell ref="S47:U47"/>
    <mergeCell ref="S48:U48"/>
    <mergeCell ref="P48:R48"/>
    <mergeCell ref="P49:R49"/>
    <mergeCell ref="P50:R50"/>
    <mergeCell ref="P51:R51"/>
    <mergeCell ref="P52:R52"/>
    <mergeCell ref="P53:R53"/>
    <mergeCell ref="P54:R54"/>
    <mergeCell ref="P55:R55"/>
    <mergeCell ref="P56:R56"/>
    <mergeCell ref="P57:R57"/>
    <mergeCell ref="P58:R58"/>
    <mergeCell ref="S58:U58"/>
    <mergeCell ref="P59:R59"/>
    <mergeCell ref="S59:U59"/>
    <mergeCell ref="E44:K44"/>
    <mergeCell ref="E45:K45"/>
    <mergeCell ref="E46:K46"/>
    <mergeCell ref="E47:K47"/>
    <mergeCell ref="E48:K48"/>
    <mergeCell ref="E49:K49"/>
    <mergeCell ref="E50:K50"/>
    <mergeCell ref="E51:K51"/>
    <mergeCell ref="E52:K52"/>
    <mergeCell ref="E53:K53"/>
    <mergeCell ref="E54:K54"/>
    <mergeCell ref="E55:K55"/>
    <mergeCell ref="E56:K56"/>
    <mergeCell ref="E57:K57"/>
    <mergeCell ref="E58:K58"/>
    <mergeCell ref="E59:K59"/>
    <mergeCell ref="E60:K60"/>
    <mergeCell ref="E61:J61"/>
    <mergeCell ref="K61:L61"/>
    <mergeCell ref="E62:J62"/>
    <mergeCell ref="K62:L62"/>
    <mergeCell ref="E63:K63"/>
    <mergeCell ref="E64:J64"/>
    <mergeCell ref="K64:L64"/>
    <mergeCell ref="E65:J65"/>
    <mergeCell ref="K65:L65"/>
    <mergeCell ref="E66:J66"/>
    <mergeCell ref="K66:L66"/>
    <mergeCell ref="E67:J67"/>
    <mergeCell ref="K67:L67"/>
    <mergeCell ref="E68:K68"/>
    <mergeCell ref="E69:J69"/>
    <mergeCell ref="K69:L69"/>
    <mergeCell ref="E70:J70"/>
    <mergeCell ref="K70:L70"/>
    <mergeCell ref="E71:J71"/>
    <mergeCell ref="K71:L71"/>
    <mergeCell ref="E72:J72"/>
    <mergeCell ref="K72:L72"/>
    <mergeCell ref="E73:K73"/>
    <mergeCell ref="E74:J74"/>
    <mergeCell ref="K74:L74"/>
    <mergeCell ref="E75:J75"/>
    <mergeCell ref="K75:L75"/>
    <mergeCell ref="E76:J76"/>
    <mergeCell ref="K76:L76"/>
    <mergeCell ref="E77:J77"/>
    <mergeCell ref="K77:L77"/>
    <mergeCell ref="E78:K78"/>
    <mergeCell ref="P60:R60"/>
    <mergeCell ref="P61:R61"/>
    <mergeCell ref="P62:R62"/>
    <mergeCell ref="P63:R63"/>
    <mergeCell ref="S63:U63"/>
    <mergeCell ref="P64:R64"/>
    <mergeCell ref="S64:U64"/>
    <mergeCell ref="P65:R65"/>
    <mergeCell ref="S65:U65"/>
    <mergeCell ref="P66:R66"/>
    <mergeCell ref="S66:U66"/>
    <mergeCell ref="P67:R67"/>
    <mergeCell ref="S67:U67"/>
    <mergeCell ref="S68:U68"/>
    <mergeCell ref="P68:R68"/>
    <mergeCell ref="P69:R69"/>
    <mergeCell ref="P70:R70"/>
    <mergeCell ref="P71:R71"/>
    <mergeCell ref="P72:R72"/>
    <mergeCell ref="P73:R73"/>
    <mergeCell ref="P74:R74"/>
    <mergeCell ref="S69:U69"/>
    <mergeCell ref="S70:U70"/>
    <mergeCell ref="S71:U71"/>
    <mergeCell ref="S72:U72"/>
    <mergeCell ref="S73:U73"/>
    <mergeCell ref="S74:U74"/>
    <mergeCell ref="S75:U75"/>
    <mergeCell ref="P75:R75"/>
    <mergeCell ref="P76:R76"/>
    <mergeCell ref="P77:R77"/>
    <mergeCell ref="P78:R78"/>
    <mergeCell ref="P79:R79"/>
    <mergeCell ref="P80:R80"/>
    <mergeCell ref="P81:R81"/>
    <mergeCell ref="S76:U76"/>
    <mergeCell ref="S77:U77"/>
    <mergeCell ref="S78:U78"/>
    <mergeCell ref="S79:U79"/>
    <mergeCell ref="S80:U80"/>
    <mergeCell ref="S81:U81"/>
    <mergeCell ref="S82:U82"/>
    <mergeCell ref="S83:U83"/>
    <mergeCell ref="S84:U84"/>
    <mergeCell ref="S85:U85"/>
    <mergeCell ref="S88:U88"/>
    <mergeCell ref="S89:U89"/>
    <mergeCell ref="S91:U91"/>
    <mergeCell ref="S94:U94"/>
    <mergeCell ref="P82:R82"/>
    <mergeCell ref="P83:R83"/>
    <mergeCell ref="P84:R84"/>
    <mergeCell ref="P85:R85"/>
    <mergeCell ref="P86:R86"/>
    <mergeCell ref="P87:R87"/>
    <mergeCell ref="P88:R88"/>
    <mergeCell ref="P89:R89"/>
    <mergeCell ref="P90:R90"/>
    <mergeCell ref="P91:R91"/>
    <mergeCell ref="P92:R92"/>
    <mergeCell ref="P93:R93"/>
    <mergeCell ref="P94:R94"/>
    <mergeCell ref="P95:R95"/>
    <mergeCell ref="P96:R96"/>
    <mergeCell ref="P97:R97"/>
    <mergeCell ref="P98:R98"/>
    <mergeCell ref="P99:R99"/>
    <mergeCell ref="P100:R100"/>
    <mergeCell ref="P101:R101"/>
    <mergeCell ref="P102:R102"/>
    <mergeCell ref="P103:R103"/>
    <mergeCell ref="P104:R104"/>
    <mergeCell ref="P105:R105"/>
    <mergeCell ref="P106:R106"/>
    <mergeCell ref="P107:R107"/>
    <mergeCell ref="P108:R108"/>
    <mergeCell ref="P109:R109"/>
    <mergeCell ref="P110:R110"/>
    <mergeCell ref="P111:R111"/>
    <mergeCell ref="P112:R112"/>
    <mergeCell ref="P113:R113"/>
    <mergeCell ref="P114:R114"/>
    <mergeCell ref="P115:R115"/>
    <mergeCell ref="P116:R116"/>
    <mergeCell ref="P117:R117"/>
    <mergeCell ref="P118:R118"/>
    <mergeCell ref="P119:R119"/>
    <mergeCell ref="P120:R120"/>
    <mergeCell ref="P131:R131"/>
    <mergeCell ref="P132:R132"/>
    <mergeCell ref="P133:R133"/>
    <mergeCell ref="P134:R134"/>
    <mergeCell ref="P135:R135"/>
    <mergeCell ref="P136:R136"/>
    <mergeCell ref="P137:R137"/>
    <mergeCell ref="P138:R138"/>
    <mergeCell ref="P139:R139"/>
    <mergeCell ref="P140:R140"/>
    <mergeCell ref="P175:R175"/>
    <mergeCell ref="P176:R176"/>
    <mergeCell ref="P177:R177"/>
    <mergeCell ref="P178:R178"/>
    <mergeCell ref="P179:R179"/>
    <mergeCell ref="P180:R180"/>
    <mergeCell ref="P181:R181"/>
    <mergeCell ref="P182:R182"/>
    <mergeCell ref="P183:R183"/>
    <mergeCell ref="P184:R184"/>
    <mergeCell ref="P185:R185"/>
    <mergeCell ref="P186:R186"/>
    <mergeCell ref="P187:R187"/>
    <mergeCell ref="P188:R188"/>
    <mergeCell ref="P189:R189"/>
    <mergeCell ref="P190:R190"/>
    <mergeCell ref="P191:R191"/>
    <mergeCell ref="P192:R192"/>
    <mergeCell ref="P193:R193"/>
    <mergeCell ref="P194:R194"/>
    <mergeCell ref="P195:R195"/>
    <mergeCell ref="P196:R196"/>
    <mergeCell ref="P197:R197"/>
    <mergeCell ref="P198:R198"/>
    <mergeCell ref="P199:R199"/>
    <mergeCell ref="P200:R200"/>
    <mergeCell ref="P201:R201"/>
    <mergeCell ref="P202:R202"/>
    <mergeCell ref="P210:R210"/>
    <mergeCell ref="P211:R211"/>
    <mergeCell ref="P212:R212"/>
    <mergeCell ref="P213:R213"/>
    <mergeCell ref="P214:R214"/>
    <mergeCell ref="P225:R225"/>
    <mergeCell ref="P228:R228"/>
    <mergeCell ref="P203:R203"/>
    <mergeCell ref="P204:R204"/>
    <mergeCell ref="P205:R205"/>
    <mergeCell ref="P206:R206"/>
    <mergeCell ref="P207:R207"/>
    <mergeCell ref="P208:R208"/>
    <mergeCell ref="P209:R209"/>
    <mergeCell ref="P141:R141"/>
    <mergeCell ref="P142:R142"/>
    <mergeCell ref="P143:R143"/>
    <mergeCell ref="P144:R144"/>
    <mergeCell ref="P145:R145"/>
    <mergeCell ref="P146:R146"/>
    <mergeCell ref="P147:R147"/>
    <mergeCell ref="P148:R148"/>
    <mergeCell ref="P149:R149"/>
    <mergeCell ref="P150:R150"/>
    <mergeCell ref="P151:R151"/>
    <mergeCell ref="P152:R152"/>
    <mergeCell ref="P153:R153"/>
    <mergeCell ref="P154:R154"/>
    <mergeCell ref="P155:R155"/>
    <mergeCell ref="P156:R156"/>
    <mergeCell ref="P157:R157"/>
    <mergeCell ref="P158:R158"/>
    <mergeCell ref="P159:R159"/>
    <mergeCell ref="P160:R160"/>
    <mergeCell ref="P161:R161"/>
    <mergeCell ref="P162:R162"/>
    <mergeCell ref="P163:R163"/>
    <mergeCell ref="P164:R164"/>
    <mergeCell ref="P165:R165"/>
    <mergeCell ref="P166:R166"/>
    <mergeCell ref="P167:R167"/>
    <mergeCell ref="S168:U168"/>
    <mergeCell ref="P168:R168"/>
    <mergeCell ref="P169:R169"/>
    <mergeCell ref="P170:R170"/>
    <mergeCell ref="P171:R171"/>
    <mergeCell ref="P172:R172"/>
    <mergeCell ref="P173:R173"/>
    <mergeCell ref="P174:R174"/>
    <mergeCell ref="S169:U169"/>
    <mergeCell ref="S170:U170"/>
    <mergeCell ref="S171:U171"/>
    <mergeCell ref="S172:U172"/>
    <mergeCell ref="S173:U173"/>
    <mergeCell ref="S174:U174"/>
    <mergeCell ref="S175:U175"/>
    <mergeCell ref="S176:U176"/>
    <mergeCell ref="S177:U177"/>
    <mergeCell ref="S178:U178"/>
    <mergeCell ref="S179:U179"/>
    <mergeCell ref="S182:U182"/>
    <mergeCell ref="S183:U183"/>
    <mergeCell ref="S185:U185"/>
    <mergeCell ref="P235:R235"/>
    <mergeCell ref="P236:R236"/>
    <mergeCell ref="P232:R232"/>
    <mergeCell ref="S232:U232"/>
    <mergeCell ref="P233:R233"/>
    <mergeCell ref="S233:U233"/>
    <mergeCell ref="P234:R234"/>
    <mergeCell ref="S234:U234"/>
    <mergeCell ref="S235:U235"/>
    <mergeCell ref="S236:U236"/>
    <mergeCell ref="S188:U188"/>
    <mergeCell ref="S191:U191"/>
    <mergeCell ref="S192:U192"/>
    <mergeCell ref="S193:U193"/>
    <mergeCell ref="S194:U194"/>
    <mergeCell ref="S195:U195"/>
    <mergeCell ref="S196:U196"/>
    <mergeCell ref="S197:U197"/>
    <mergeCell ref="S198:U198"/>
    <mergeCell ref="S199:U199"/>
    <mergeCell ref="S200:U200"/>
    <mergeCell ref="S201:U201"/>
    <mergeCell ref="S202:U202"/>
    <mergeCell ref="S203:U203"/>
    <mergeCell ref="S204:U204"/>
    <mergeCell ref="S205:U205"/>
    <mergeCell ref="S206:U206"/>
    <mergeCell ref="S207:U207"/>
    <mergeCell ref="S208:U208"/>
    <mergeCell ref="S209:U209"/>
    <mergeCell ref="S210:U210"/>
    <mergeCell ref="S211:U211"/>
    <mergeCell ref="S212:U212"/>
    <mergeCell ref="S213:U213"/>
    <mergeCell ref="S214:U214"/>
    <mergeCell ref="S225:U225"/>
    <mergeCell ref="E226:H226"/>
    <mergeCell ref="I226:M226"/>
    <mergeCell ref="E227:I227"/>
    <mergeCell ref="J227:K227"/>
    <mergeCell ref="L227:M227"/>
    <mergeCell ref="P227:R227"/>
    <mergeCell ref="S227:U227"/>
    <mergeCell ref="P229:R229"/>
    <mergeCell ref="S229:U229"/>
    <mergeCell ref="P226:R226"/>
    <mergeCell ref="S226:U226"/>
    <mergeCell ref="S228:U228"/>
    <mergeCell ref="P230:R230"/>
    <mergeCell ref="S230:U230"/>
    <mergeCell ref="P231:R231"/>
    <mergeCell ref="S231:U231"/>
    <mergeCell ref="E229:K229"/>
    <mergeCell ref="E230:K230"/>
    <mergeCell ref="E231:K231"/>
    <mergeCell ref="E232:K232"/>
    <mergeCell ref="E233:K233"/>
    <mergeCell ref="E234:K234"/>
    <mergeCell ref="E235:K235"/>
    <mergeCell ref="S253:U253"/>
    <mergeCell ref="S254:U254"/>
    <mergeCell ref="S243:U243"/>
    <mergeCell ref="S244:U244"/>
    <mergeCell ref="S245:U245"/>
    <mergeCell ref="S246:U246"/>
    <mergeCell ref="S247:U247"/>
    <mergeCell ref="S251:U251"/>
    <mergeCell ref="S252:U252"/>
    <mergeCell ref="E246:K246"/>
    <mergeCell ref="E247:K247"/>
    <mergeCell ref="E248:K248"/>
    <mergeCell ref="E249:J249"/>
    <mergeCell ref="K249:L249"/>
    <mergeCell ref="E250:J250"/>
    <mergeCell ref="K250:L250"/>
    <mergeCell ref="E251:K251"/>
    <mergeCell ref="E252:J252"/>
    <mergeCell ref="K252:L252"/>
    <mergeCell ref="E253:J253"/>
    <mergeCell ref="K253:L253"/>
    <mergeCell ref="E254:J254"/>
    <mergeCell ref="K254:L254"/>
    <mergeCell ref="E255:J255"/>
    <mergeCell ref="K255:L255"/>
    <mergeCell ref="S255:U255"/>
    <mergeCell ref="S256:U256"/>
    <mergeCell ref="S257:U257"/>
    <mergeCell ref="S258:U258"/>
    <mergeCell ref="E256:K256"/>
    <mergeCell ref="E257:J257"/>
    <mergeCell ref="K257:L257"/>
    <mergeCell ref="E258:J258"/>
    <mergeCell ref="K258:L258"/>
    <mergeCell ref="E259:J259"/>
    <mergeCell ref="K259:L259"/>
    <mergeCell ref="E260:J260"/>
    <mergeCell ref="K260:L260"/>
    <mergeCell ref="P260:R260"/>
    <mergeCell ref="S260:U260"/>
    <mergeCell ref="E261:K261"/>
    <mergeCell ref="P261:R261"/>
    <mergeCell ref="S261:U261"/>
    <mergeCell ref="E262:J262"/>
    <mergeCell ref="K262:L262"/>
    <mergeCell ref="P262:R262"/>
    <mergeCell ref="S262:U262"/>
    <mergeCell ref="K263:L263"/>
    <mergeCell ref="P263:R263"/>
    <mergeCell ref="S263:U263"/>
    <mergeCell ref="E236:K236"/>
    <mergeCell ref="E237:K237"/>
    <mergeCell ref="P237:R237"/>
    <mergeCell ref="S237:U237"/>
    <mergeCell ref="E238:K238"/>
    <mergeCell ref="S238:U238"/>
    <mergeCell ref="S239:U239"/>
    <mergeCell ref="P238:R238"/>
    <mergeCell ref="P239:R239"/>
    <mergeCell ref="P240:R240"/>
    <mergeCell ref="S240:U240"/>
    <mergeCell ref="P241:R241"/>
    <mergeCell ref="S241:U241"/>
    <mergeCell ref="S242:U242"/>
    <mergeCell ref="E239:K239"/>
    <mergeCell ref="E240:K240"/>
    <mergeCell ref="E241:K241"/>
    <mergeCell ref="E242:K242"/>
    <mergeCell ref="E243:K243"/>
    <mergeCell ref="E244:K244"/>
    <mergeCell ref="E245:K245"/>
    <mergeCell ref="P242:R242"/>
    <mergeCell ref="P243:R243"/>
    <mergeCell ref="P244:R244"/>
    <mergeCell ref="P245:R245"/>
    <mergeCell ref="P246:R246"/>
    <mergeCell ref="P247:R247"/>
    <mergeCell ref="P248:R248"/>
    <mergeCell ref="P258:R258"/>
    <mergeCell ref="P259:R259"/>
    <mergeCell ref="S259:U259"/>
    <mergeCell ref="P251:R251"/>
    <mergeCell ref="P252:R252"/>
    <mergeCell ref="P253:R253"/>
    <mergeCell ref="P254:R254"/>
    <mergeCell ref="P255:R255"/>
    <mergeCell ref="P256:R256"/>
    <mergeCell ref="P257:R257"/>
    <mergeCell ref="P265:R265"/>
    <mergeCell ref="S265:U265"/>
    <mergeCell ref="S355:U355"/>
    <mergeCell ref="S356:U356"/>
    <mergeCell ref="S348:U348"/>
    <mergeCell ref="S349:U349"/>
    <mergeCell ref="S350:U350"/>
    <mergeCell ref="S351:U351"/>
    <mergeCell ref="S352:U352"/>
    <mergeCell ref="S353:U353"/>
    <mergeCell ref="S354:U354"/>
    <mergeCell ref="P327:R327"/>
    <mergeCell ref="S327:U327"/>
    <mergeCell ref="P328:R328"/>
    <mergeCell ref="S328:U328"/>
    <mergeCell ref="P329:R329"/>
    <mergeCell ref="S329:U329"/>
    <mergeCell ref="S330:U330"/>
    <mergeCell ref="P330:R330"/>
    <mergeCell ref="P331:R331"/>
    <mergeCell ref="P332:R332"/>
    <mergeCell ref="P333:R333"/>
    <mergeCell ref="P334:R334"/>
    <mergeCell ref="P335:R335"/>
    <mergeCell ref="P336:R336"/>
    <mergeCell ref="S331:U331"/>
    <mergeCell ref="S332:U332"/>
    <mergeCell ref="S333:U333"/>
    <mergeCell ref="S334:U334"/>
    <mergeCell ref="S335:U335"/>
    <mergeCell ref="S336:U336"/>
    <mergeCell ref="S337:U337"/>
    <mergeCell ref="P337:R337"/>
    <mergeCell ref="P338:R338"/>
    <mergeCell ref="P339:R339"/>
    <mergeCell ref="P340:R340"/>
    <mergeCell ref="P341:R341"/>
    <mergeCell ref="P342:R342"/>
    <mergeCell ref="P345:R345"/>
    <mergeCell ref="S338:U338"/>
    <mergeCell ref="S339:U339"/>
    <mergeCell ref="S340:U340"/>
    <mergeCell ref="S341:U341"/>
    <mergeCell ref="S345:U345"/>
    <mergeCell ref="S346:U346"/>
    <mergeCell ref="S347:U347"/>
    <mergeCell ref="P353:R353"/>
    <mergeCell ref="P354:R354"/>
    <mergeCell ref="P355:R355"/>
    <mergeCell ref="P356:R356"/>
    <mergeCell ref="P346:R346"/>
    <mergeCell ref="P347:R347"/>
    <mergeCell ref="P348:R348"/>
    <mergeCell ref="P349:R349"/>
    <mergeCell ref="P350:R350"/>
    <mergeCell ref="P351:R351"/>
    <mergeCell ref="P352:R352"/>
  </mergeCells>
  <conditionalFormatting sqref="L42:L60 L63 L68 L73 L78 L136:L154 L157 L162 L167 L172 L230:L248 L251 L256 L261 L266 L324:L342 L345 L350 L355 L360 L418:L436 L439 L444 L449 L454">
    <cfRule type="expression" dxfId="3" priority="1">
      <formula>AND(L42&lt;&gt;M42, M42&lt;&gt;"", L42&lt;&gt;"Often")</formula>
    </cfRule>
  </conditionalFormatting>
  <conditionalFormatting sqref="L42:L60 L63 L68 L73 L78 L136:L154 L157 L162 L167 L172 L230:L248 L251 L256 L261 L266 L324:L342 L345 L350 L355 L360 L418:L436 L439 L444 L449 L454">
    <cfRule type="expression" dxfId="4" priority="2">
      <formula>AND($L42="Often", $M42="Yes")</formula>
    </cfRule>
  </conditionalFormatting>
  <dataValidations>
    <dataValidation type="list" allowBlank="1" showErrorMessage="1" sqref="M61:M62 M66 M71 M76 M81 M155:M156 M160 M165 M170 M175 M249:M250 M254 M259 M264 M269 M343:M344 M348 M353 M358 M363 M437:M438 M442 M447 M452 M457">
      <formula1>"Yes allow,No don't allow"</formula1>
    </dataValidation>
    <dataValidation type="list" allowBlank="1" showErrorMessage="1" sqref="L88 H97:H104 L182 H191:H198 L276 H285:H292 L370 H379:H386 L464 H473:H480">
      <formula1>"Monthly,Quarterly,Yearly"</formula1>
    </dataValidation>
    <dataValidation type="list" allowBlank="1" showErrorMessage="1" sqref="M113 M207 M301 M395 M489">
      <formula1>"Skipr ,The client"</formula1>
    </dataValidation>
    <dataValidation type="list" allowBlank="1" showErrorMessage="1" sqref="L39 L133 L227 L321 L415">
      <formula1>"Federal Mobility Budget,Commute,Professional Travel,EV Charging &amp; Fuel"</formula1>
    </dataValidation>
    <dataValidation type="list" allowBlank="1" showErrorMessage="1" sqref="M67 M72 M77 M82 M161 M166 M171 M176 M255 M260 M265 M270 M349 M354 M359 M364 M443 M448 M453 M458">
      <formula1>"Yes required,No auto-approved"</formula1>
    </dataValidation>
    <dataValidation type="list" allowBlank="1" showErrorMessage="1" sqref="L92 L186 L280 L374 L468">
      <formula1>"Virtual + Physical,Virtual"</formula1>
    </dataValidation>
    <dataValidation type="list" allowBlank="1" showErrorMessage="1" sqref="M42:M60 M63 M68 M73 M78 L90:L91 L93 J97:K104 M97:M104 M117:M118 M136:M154 M157 M162 M167 M172 L184:L185 L187 J191:K198 M191:M198 M211:M212 M230:M248 M251 M256 M261 M266 L278:L279 L281 J285:K292 M285:M292 M305:M306 M324:M342 M345 M350 M355 M360 L372:L373 L375 J379:K386 M379:M386 M399:M400 M418:M436 M439 M444 M449 M454 L466:L467 L469 J473:K480 M473:M480 M493:M494">
      <formula1>"Yes,No"</formula1>
    </dataValidation>
    <dataValidation type="list" allowBlank="1" showErrorMessage="1" sqref="M112 M206 M300 M394 M488">
      <formula1>"Yes (all services),Yes (some services),No"</formula1>
    </dataValidation>
    <dataValidation type="list" allowBlank="1" showErrorMessage="1" sqref="L97:L104 L191:L198 L285:L292 L379:L386 L473:L480">
      <formula1>"Virtual,Virtual + Physical"</formula1>
    </dataValidation>
    <dataValidation type="list" allowBlank="1" showErrorMessage="1" sqref="L89 I97:I104 L183 I191:I198 L277 I285:I292 L371 I379:I386 L465 I473:I480">
      <formula1>"balance lost / reset,Cumulated with next top-up "</formula1>
    </dataValidation>
    <dataValidation type="list" allowBlank="1" showErrorMessage="1" sqref="M84 M178 M272 M366 M460">
      <formula1>"Yes groups,No custom budgets"</formula1>
    </dataValidation>
    <dataValidation type="list" allowBlank="1" showErrorMessage="1" sqref="M106 M200 M294 M388 M482">
      <formula1>"BE,FR,EU,EEA,Worldwide"</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c r="B1" s="1"/>
      <c r="C1" s="1"/>
      <c r="D1" s="1"/>
      <c r="E1" s="1"/>
      <c r="F1" s="1"/>
      <c r="G1" s="1"/>
      <c r="H1" s="1"/>
      <c r="I1" s="1"/>
      <c r="J1" s="1"/>
      <c r="K1" s="1"/>
      <c r="L1" s="1"/>
      <c r="M1" s="1"/>
      <c r="N1" s="1"/>
      <c r="O1" s="1"/>
      <c r="P1" s="1"/>
      <c r="Q1" s="1"/>
      <c r="R1" s="1"/>
      <c r="S1" s="1"/>
      <c r="T1" s="1"/>
    </row>
    <row r="2">
      <c r="A2" s="1"/>
      <c r="B2" s="1"/>
      <c r="C2" s="1"/>
      <c r="D2" s="1"/>
      <c r="E2" s="1"/>
      <c r="F2" s="1"/>
      <c r="G2" s="1"/>
      <c r="H2" s="1"/>
      <c r="I2" s="1"/>
      <c r="J2" s="1"/>
      <c r="K2" s="1"/>
      <c r="L2" s="1"/>
      <c r="M2" s="1"/>
      <c r="N2" s="1"/>
      <c r="O2" s="1"/>
      <c r="P2" s="1"/>
      <c r="Q2" s="1"/>
      <c r="R2" s="1"/>
      <c r="S2" s="1"/>
      <c r="T2" s="1"/>
    </row>
    <row r="3">
      <c r="A3" s="1"/>
      <c r="B3" s="1"/>
      <c r="C3" s="1"/>
      <c r="D3" s="1"/>
      <c r="E3" s="1"/>
      <c r="F3" s="1"/>
      <c r="G3" s="1"/>
      <c r="H3" s="1"/>
      <c r="I3" s="1"/>
      <c r="J3" s="1"/>
      <c r="K3" s="1"/>
      <c r="L3" s="1"/>
      <c r="M3" s="1"/>
      <c r="N3" s="1"/>
      <c r="O3" s="1"/>
      <c r="P3" s="1"/>
      <c r="Q3" s="1"/>
      <c r="R3" s="1"/>
      <c r="S3" s="1"/>
      <c r="T3" s="1"/>
    </row>
    <row r="4">
      <c r="A4" s="1"/>
      <c r="B4" s="1"/>
      <c r="C4" s="1"/>
      <c r="D4" s="1"/>
      <c r="E4" s="1"/>
      <c r="F4" s="1"/>
      <c r="G4" s="1"/>
      <c r="H4" s="1"/>
      <c r="I4" s="1"/>
      <c r="J4" s="1"/>
      <c r="K4" s="1"/>
      <c r="L4" s="1"/>
      <c r="M4" s="1"/>
      <c r="N4" s="1"/>
      <c r="O4" s="1"/>
      <c r="P4" s="1"/>
      <c r="Q4" s="1"/>
      <c r="R4" s="1"/>
      <c r="S4" s="1"/>
      <c r="T4" s="1"/>
    </row>
    <row r="5">
      <c r="A5" s="1"/>
      <c r="B5" s="1"/>
      <c r="C5" s="1"/>
      <c r="D5" s="1"/>
      <c r="E5" s="1"/>
      <c r="F5" s="1"/>
      <c r="G5" s="1"/>
      <c r="H5" s="1"/>
      <c r="I5" s="1"/>
      <c r="J5" s="1"/>
      <c r="K5" s="1"/>
      <c r="L5" s="1"/>
      <c r="M5" s="1"/>
      <c r="N5" s="1"/>
      <c r="O5" s="1"/>
      <c r="P5" s="1"/>
      <c r="Q5" s="1"/>
      <c r="R5" s="1"/>
      <c r="S5" s="1"/>
      <c r="T5" s="1"/>
    </row>
    <row r="6">
      <c r="A6" s="1"/>
      <c r="B6" s="1"/>
      <c r="C6" s="1"/>
      <c r="D6" s="1"/>
      <c r="E6" s="1"/>
      <c r="F6" s="1"/>
      <c r="G6" s="1"/>
      <c r="H6" s="1"/>
      <c r="I6" s="1"/>
      <c r="J6" s="1"/>
      <c r="K6" s="1"/>
      <c r="L6" s="1"/>
      <c r="M6" s="1"/>
      <c r="N6" s="1"/>
      <c r="O6" s="1"/>
      <c r="P6" s="1"/>
      <c r="Q6" s="1"/>
      <c r="R6" s="1"/>
      <c r="S6" s="1"/>
      <c r="T6" s="1"/>
    </row>
    <row r="7">
      <c r="A7" s="1"/>
      <c r="B7" s="1"/>
      <c r="C7" s="1"/>
      <c r="D7" s="1"/>
      <c r="E7" s="1"/>
      <c r="F7" s="1"/>
      <c r="G7" s="1"/>
      <c r="H7" s="1"/>
      <c r="I7" s="1"/>
      <c r="J7" s="1"/>
      <c r="K7" s="1"/>
      <c r="L7" s="1"/>
      <c r="M7" s="1"/>
      <c r="N7" s="1"/>
      <c r="O7" s="1"/>
      <c r="P7" s="1"/>
      <c r="Q7" s="1"/>
      <c r="R7" s="1"/>
      <c r="S7" s="1"/>
      <c r="T7" s="1"/>
    </row>
    <row r="8">
      <c r="A8" s="4"/>
      <c r="B8" s="4"/>
      <c r="C8" s="4"/>
      <c r="D8" s="4"/>
      <c r="E8" s="4"/>
      <c r="F8" s="4"/>
      <c r="G8" s="4"/>
      <c r="H8" s="4"/>
      <c r="I8" s="4"/>
      <c r="J8" s="4"/>
      <c r="K8" s="4"/>
      <c r="L8" s="4"/>
      <c r="M8" s="4"/>
      <c r="N8" s="5"/>
      <c r="O8" s="5"/>
      <c r="P8" s="4"/>
      <c r="Q8" s="4"/>
      <c r="R8" s="4"/>
      <c r="S8" s="4"/>
      <c r="T8" s="4"/>
    </row>
    <row r="9">
      <c r="A9" s="5"/>
      <c r="B9" s="142"/>
      <c r="C9" s="5"/>
      <c r="D9" s="5"/>
      <c r="E9" s="5"/>
      <c r="F9" s="5"/>
      <c r="G9" s="5"/>
      <c r="H9" s="5"/>
      <c r="I9" s="5"/>
      <c r="J9" s="5"/>
      <c r="K9" s="5"/>
      <c r="L9" s="5"/>
      <c r="M9" s="5"/>
      <c r="N9" s="5"/>
      <c r="O9" s="5"/>
      <c r="P9" s="5"/>
      <c r="Q9" s="5"/>
      <c r="R9" s="5"/>
      <c r="S9" s="5"/>
      <c r="T9" s="5"/>
    </row>
    <row r="10">
      <c r="A10" s="5"/>
      <c r="B10" s="5"/>
      <c r="C10" s="5"/>
      <c r="D10" s="5"/>
      <c r="E10" s="5"/>
      <c r="F10" s="5"/>
      <c r="G10" s="5"/>
      <c r="H10" s="5"/>
      <c r="I10" s="5"/>
      <c r="J10" s="5"/>
      <c r="K10" s="5"/>
      <c r="L10" s="5"/>
      <c r="M10" s="5"/>
      <c r="N10" s="5"/>
      <c r="O10" s="5"/>
      <c r="P10" s="5"/>
      <c r="Q10" s="5"/>
      <c r="R10" s="5"/>
      <c r="S10" s="5"/>
      <c r="T10" s="5"/>
    </row>
    <row r="11">
      <c r="A11" s="5"/>
      <c r="B11" s="5"/>
      <c r="C11" s="5"/>
      <c r="D11" s="5"/>
      <c r="E11" s="5"/>
      <c r="F11" s="5"/>
      <c r="G11" s="5"/>
      <c r="H11" s="5"/>
      <c r="I11" s="5"/>
      <c r="J11" s="5"/>
      <c r="K11" s="5"/>
      <c r="L11" s="5"/>
      <c r="M11" s="5"/>
      <c r="N11" s="5"/>
      <c r="O11" s="5"/>
      <c r="P11" s="5"/>
      <c r="Q11" s="5"/>
      <c r="R11" s="5"/>
      <c r="S11" s="5"/>
      <c r="T11" s="5"/>
    </row>
    <row r="12" ht="15.75" customHeight="1">
      <c r="A12" s="5"/>
      <c r="B12" s="5"/>
      <c r="C12" s="47" t="s">
        <v>360</v>
      </c>
      <c r="D12" s="20" t="s">
        <v>361</v>
      </c>
      <c r="E12" s="10"/>
      <c r="F12" s="10"/>
      <c r="G12" s="11"/>
      <c r="H12" s="5"/>
      <c r="I12" s="5"/>
      <c r="J12" s="5"/>
      <c r="K12" s="5"/>
      <c r="L12" s="5"/>
      <c r="M12" s="5"/>
      <c r="N12" s="5"/>
      <c r="O12" s="5"/>
      <c r="P12" s="5"/>
      <c r="Q12" s="5"/>
      <c r="R12" s="5"/>
      <c r="S12" s="5"/>
      <c r="T12" s="5"/>
    </row>
    <row r="13" ht="17.25" customHeight="1">
      <c r="A13" s="22"/>
      <c r="B13" s="22"/>
      <c r="C13" s="48"/>
      <c r="D13" s="14"/>
      <c r="E13" s="15"/>
      <c r="F13" s="15"/>
      <c r="G13" s="16"/>
      <c r="H13" s="22"/>
      <c r="I13" s="313"/>
      <c r="J13" s="22"/>
      <c r="K13" s="22"/>
      <c r="L13" s="22"/>
      <c r="M13" s="22"/>
      <c r="N13" s="22"/>
      <c r="O13" s="22"/>
      <c r="P13" s="22"/>
      <c r="Q13" s="22"/>
      <c r="R13" s="22"/>
      <c r="S13" s="22"/>
      <c r="T13" s="22"/>
    </row>
    <row r="14">
      <c r="A14" s="22"/>
      <c r="B14" s="22"/>
      <c r="C14" s="22"/>
      <c r="D14" s="22"/>
      <c r="E14" s="22"/>
      <c r="F14" s="22"/>
      <c r="G14" s="22"/>
      <c r="H14" s="22"/>
      <c r="I14" s="22"/>
      <c r="J14" s="22"/>
      <c r="K14" s="22"/>
      <c r="L14" s="22"/>
      <c r="M14" s="22"/>
      <c r="N14" s="22"/>
      <c r="O14" s="22"/>
      <c r="P14" s="22"/>
      <c r="Q14" s="22"/>
      <c r="R14" s="22"/>
      <c r="S14" s="22"/>
      <c r="T14" s="22"/>
    </row>
    <row r="15">
      <c r="A15" s="22"/>
      <c r="B15" s="22"/>
      <c r="C15" s="22"/>
      <c r="D15" s="22"/>
      <c r="E15" s="22"/>
      <c r="F15" s="22"/>
      <c r="G15" s="22"/>
      <c r="H15" s="22"/>
      <c r="I15" s="22"/>
      <c r="J15" s="22"/>
      <c r="K15" s="22"/>
      <c r="L15" s="22"/>
      <c r="M15" s="22"/>
      <c r="N15" s="22"/>
      <c r="O15" s="22"/>
      <c r="P15" s="22"/>
      <c r="Q15" s="22"/>
      <c r="R15" s="22"/>
      <c r="S15" s="22"/>
      <c r="T15" s="22"/>
    </row>
    <row r="16">
      <c r="A16" s="22"/>
      <c r="B16" s="22"/>
      <c r="C16" s="22"/>
      <c r="D16" s="22"/>
      <c r="E16" s="22"/>
      <c r="F16" s="22"/>
      <c r="G16" s="22"/>
      <c r="H16" s="22"/>
      <c r="I16" s="22"/>
      <c r="J16" s="22"/>
      <c r="K16" s="22"/>
      <c r="L16" s="22"/>
      <c r="M16" s="22"/>
      <c r="N16" s="22"/>
      <c r="O16" s="22"/>
      <c r="P16" s="22"/>
      <c r="Q16" s="22"/>
      <c r="R16" s="22"/>
      <c r="S16" s="22"/>
      <c r="T16" s="22"/>
    </row>
    <row r="17" ht="30.75" customHeight="1">
      <c r="A17" s="22"/>
      <c r="B17" s="22"/>
      <c r="C17" s="22"/>
      <c r="D17" s="25" t="s">
        <v>362</v>
      </c>
      <c r="E17" s="22"/>
      <c r="F17" s="22"/>
      <c r="G17" s="22"/>
      <c r="H17" s="22"/>
      <c r="I17" s="22"/>
      <c r="J17" s="22"/>
      <c r="K17" s="22"/>
      <c r="L17" s="22"/>
      <c r="M17" s="22"/>
      <c r="N17" s="22"/>
      <c r="O17" s="22"/>
      <c r="P17" s="22"/>
      <c r="Q17" s="22"/>
      <c r="R17" s="22"/>
      <c r="S17" s="22"/>
      <c r="T17" s="22"/>
    </row>
    <row r="18">
      <c r="A18" s="22"/>
      <c r="B18" s="22"/>
      <c r="C18" s="22"/>
      <c r="D18" s="26" t="s">
        <v>363</v>
      </c>
      <c r="E18" s="22"/>
      <c r="F18" s="22"/>
      <c r="G18" s="22"/>
      <c r="H18" s="22"/>
      <c r="I18" s="22"/>
      <c r="J18" s="22"/>
      <c r="K18" s="22"/>
      <c r="L18" s="22"/>
      <c r="M18" s="22"/>
      <c r="N18" s="22"/>
      <c r="O18" s="22"/>
      <c r="P18" s="22"/>
      <c r="Q18" s="22"/>
      <c r="R18" s="22"/>
      <c r="S18" s="22"/>
      <c r="T18" s="22"/>
    </row>
    <row r="19">
      <c r="A19" s="22"/>
      <c r="B19" s="22"/>
      <c r="C19" s="22"/>
      <c r="D19" s="26" t="s">
        <v>364</v>
      </c>
      <c r="E19" s="22"/>
      <c r="F19" s="22"/>
      <c r="G19" s="22"/>
      <c r="H19" s="22"/>
      <c r="I19" s="22"/>
      <c r="J19" s="22"/>
      <c r="K19" s="22"/>
      <c r="L19" s="22"/>
      <c r="M19" s="22"/>
      <c r="N19" s="22"/>
      <c r="O19" s="22"/>
      <c r="P19" s="22"/>
      <c r="Q19" s="22"/>
      <c r="R19" s="22"/>
      <c r="S19" s="22"/>
      <c r="T19" s="22"/>
    </row>
    <row r="20">
      <c r="A20" s="22"/>
      <c r="B20" s="22"/>
      <c r="C20" s="22"/>
      <c r="D20" s="29"/>
      <c r="E20" s="22"/>
      <c r="F20" s="22"/>
      <c r="G20" s="22"/>
      <c r="H20" s="22"/>
      <c r="I20" s="22"/>
      <c r="J20" s="22"/>
      <c r="K20" s="22"/>
      <c r="L20" s="22"/>
      <c r="M20" s="22"/>
      <c r="N20" s="22"/>
      <c r="O20" s="22"/>
      <c r="P20" s="22"/>
      <c r="Q20" s="22"/>
      <c r="R20" s="22"/>
      <c r="S20" s="22"/>
      <c r="T20" s="22"/>
    </row>
    <row r="21">
      <c r="A21" s="27"/>
      <c r="B21" s="27"/>
      <c r="C21" s="27"/>
      <c r="D21" s="27"/>
      <c r="E21" s="27"/>
      <c r="F21" s="27"/>
      <c r="G21" s="27"/>
      <c r="H21" s="27"/>
      <c r="I21" s="27"/>
      <c r="J21" s="27"/>
      <c r="K21" s="27"/>
      <c r="L21" s="27"/>
      <c r="M21" s="27"/>
      <c r="N21" s="27"/>
      <c r="O21" s="27"/>
      <c r="P21" s="27"/>
      <c r="Q21" s="27"/>
      <c r="R21" s="27"/>
      <c r="S21" s="27"/>
      <c r="T21" s="27"/>
    </row>
    <row r="22">
      <c r="A22" s="27"/>
      <c r="B22" s="27"/>
      <c r="C22" s="27"/>
      <c r="D22" s="27"/>
      <c r="E22" s="27"/>
      <c r="F22" s="27"/>
      <c r="G22" s="27"/>
      <c r="H22" s="27"/>
      <c r="I22" s="27"/>
      <c r="J22" s="27"/>
      <c r="K22" s="27"/>
      <c r="L22" s="27"/>
      <c r="M22" s="27"/>
      <c r="N22" s="27"/>
      <c r="O22" s="27"/>
      <c r="P22" s="27"/>
      <c r="Q22" s="27"/>
      <c r="R22" s="27"/>
      <c r="S22" s="27"/>
      <c r="T22" s="27"/>
    </row>
    <row r="23">
      <c r="A23" s="27"/>
      <c r="B23" s="27"/>
      <c r="C23" s="27"/>
      <c r="D23" s="25" t="s">
        <v>365</v>
      </c>
      <c r="E23" s="27"/>
      <c r="F23" s="27"/>
      <c r="G23" s="27"/>
      <c r="H23" s="27"/>
      <c r="I23" s="27"/>
      <c r="J23" s="27"/>
      <c r="K23" s="27"/>
      <c r="L23" s="27"/>
      <c r="M23" s="27"/>
      <c r="N23" s="27"/>
      <c r="O23" s="27"/>
      <c r="P23" s="27"/>
      <c r="Q23" s="27"/>
      <c r="R23" s="27"/>
      <c r="S23" s="27"/>
      <c r="T23" s="27"/>
    </row>
    <row r="24">
      <c r="A24" s="27"/>
      <c r="B24" s="27"/>
      <c r="C24" s="27"/>
      <c r="D24" s="314" t="s">
        <v>366</v>
      </c>
      <c r="E24" s="27"/>
      <c r="F24" s="27"/>
      <c r="G24" s="27"/>
      <c r="H24" s="27"/>
      <c r="I24" s="27"/>
      <c r="J24" s="27"/>
      <c r="K24" s="27"/>
      <c r="L24" s="27"/>
      <c r="M24" s="27"/>
      <c r="N24" s="27"/>
      <c r="O24" s="27"/>
      <c r="P24" s="27"/>
      <c r="Q24" s="27"/>
      <c r="R24" s="27"/>
      <c r="S24" s="27"/>
      <c r="T24" s="27"/>
    </row>
    <row r="25">
      <c r="A25" s="27"/>
      <c r="B25" s="27"/>
      <c r="C25" s="27"/>
      <c r="D25" s="314" t="s">
        <v>367</v>
      </c>
      <c r="E25" s="27"/>
      <c r="F25" s="27"/>
      <c r="G25" s="27"/>
      <c r="H25" s="27"/>
      <c r="I25" s="27"/>
      <c r="J25" s="27"/>
      <c r="K25" s="27"/>
      <c r="L25" s="27"/>
      <c r="M25" s="27"/>
      <c r="N25" s="27"/>
      <c r="O25" s="27"/>
      <c r="P25" s="27"/>
      <c r="Q25" s="27"/>
      <c r="R25" s="27"/>
      <c r="S25" s="27"/>
      <c r="T25" s="27"/>
    </row>
    <row r="26">
      <c r="A26" s="27"/>
      <c r="B26" s="27"/>
      <c r="C26" s="27"/>
      <c r="D26" s="315"/>
      <c r="E26" s="27"/>
      <c r="F26" s="27"/>
      <c r="G26" s="27"/>
      <c r="H26" s="27"/>
      <c r="I26" s="27"/>
      <c r="J26" s="27"/>
      <c r="K26" s="27"/>
      <c r="L26" s="27"/>
      <c r="M26" s="27"/>
      <c r="N26" s="27"/>
      <c r="O26" s="27"/>
      <c r="P26" s="27"/>
      <c r="Q26" s="27"/>
      <c r="R26" s="27"/>
      <c r="S26" s="27"/>
      <c r="T26" s="27"/>
    </row>
    <row r="27">
      <c r="A27" s="27"/>
      <c r="B27" s="27"/>
      <c r="C27" s="27"/>
      <c r="D27" s="314" t="s">
        <v>368</v>
      </c>
      <c r="E27" s="27"/>
      <c r="F27" s="27"/>
      <c r="G27" s="27"/>
      <c r="H27" s="27"/>
      <c r="I27" s="27"/>
      <c r="J27" s="27"/>
      <c r="K27" s="27"/>
      <c r="L27" s="27"/>
      <c r="M27" s="27"/>
      <c r="N27" s="27"/>
      <c r="O27" s="27"/>
      <c r="P27" s="27"/>
      <c r="Q27" s="27"/>
      <c r="R27" s="27"/>
      <c r="S27" s="27"/>
      <c r="T27" s="27"/>
    </row>
    <row r="28">
      <c r="A28" s="27"/>
      <c r="B28" s="27"/>
      <c r="C28" s="27"/>
      <c r="D28" s="314" t="s">
        <v>369</v>
      </c>
      <c r="E28" s="27"/>
      <c r="F28" s="27"/>
      <c r="G28" s="27"/>
      <c r="H28" s="27"/>
      <c r="I28" s="27"/>
      <c r="J28" s="27"/>
      <c r="K28" s="27"/>
      <c r="L28" s="27"/>
      <c r="M28" s="27"/>
      <c r="N28" s="27"/>
      <c r="O28" s="27"/>
      <c r="P28" s="27"/>
      <c r="Q28" s="27"/>
      <c r="R28" s="27"/>
      <c r="S28" s="27"/>
      <c r="T28" s="27"/>
    </row>
    <row r="29">
      <c r="A29" s="27"/>
      <c r="B29" s="27"/>
      <c r="C29" s="27"/>
      <c r="D29" s="315"/>
      <c r="E29" s="27"/>
      <c r="F29" s="27"/>
      <c r="G29" s="27"/>
      <c r="H29" s="27"/>
      <c r="I29" s="27"/>
      <c r="J29" s="27"/>
      <c r="K29" s="27"/>
      <c r="L29" s="27"/>
      <c r="M29" s="27"/>
      <c r="N29" s="27"/>
      <c r="O29" s="27"/>
      <c r="P29" s="27"/>
      <c r="Q29" s="27"/>
      <c r="R29" s="27"/>
      <c r="S29" s="27"/>
      <c r="T29" s="27"/>
    </row>
    <row r="30">
      <c r="A30" s="27"/>
      <c r="B30" s="27"/>
      <c r="C30" s="27"/>
      <c r="D30" s="314" t="s">
        <v>370</v>
      </c>
      <c r="E30" s="27"/>
      <c r="F30" s="27"/>
      <c r="G30" s="27"/>
      <c r="H30" s="27"/>
      <c r="I30" s="27"/>
      <c r="J30" s="27"/>
      <c r="K30" s="27"/>
      <c r="L30" s="27"/>
      <c r="M30" s="27"/>
      <c r="N30" s="27"/>
      <c r="O30" s="27"/>
      <c r="P30" s="27"/>
      <c r="Q30" s="27"/>
      <c r="R30" s="27"/>
      <c r="S30" s="27"/>
      <c r="T30" s="27"/>
    </row>
    <row r="31">
      <c r="A31" s="27"/>
      <c r="B31" s="27"/>
      <c r="C31" s="27"/>
      <c r="D31" s="314" t="s">
        <v>371</v>
      </c>
      <c r="E31" s="27"/>
      <c r="F31" s="27"/>
      <c r="G31" s="27"/>
      <c r="H31" s="27"/>
      <c r="I31" s="27"/>
      <c r="J31" s="27"/>
      <c r="K31" s="27"/>
      <c r="L31" s="27"/>
      <c r="M31" s="27"/>
      <c r="N31" s="27"/>
      <c r="O31" s="27"/>
      <c r="P31" s="27"/>
      <c r="Q31" s="27"/>
      <c r="R31" s="27"/>
      <c r="S31" s="27"/>
      <c r="T31" s="27"/>
    </row>
    <row r="32">
      <c r="A32" s="27"/>
      <c r="B32" s="27"/>
      <c r="C32" s="27"/>
      <c r="D32" s="27"/>
      <c r="E32" s="27"/>
      <c r="F32" s="27"/>
      <c r="G32" s="27"/>
      <c r="H32" s="27"/>
      <c r="I32" s="27"/>
      <c r="J32" s="27"/>
      <c r="K32" s="27"/>
      <c r="L32" s="27"/>
      <c r="M32" s="27"/>
      <c r="N32" s="27"/>
      <c r="O32" s="27"/>
      <c r="P32" s="27"/>
      <c r="Q32" s="27"/>
      <c r="R32" s="27"/>
      <c r="S32" s="27"/>
      <c r="T32" s="27"/>
    </row>
    <row r="33">
      <c r="A33" s="27"/>
      <c r="B33" s="27"/>
      <c r="C33" s="27"/>
      <c r="D33" s="27"/>
      <c r="E33" s="27"/>
      <c r="F33" s="27"/>
      <c r="G33" s="27"/>
      <c r="H33" s="27"/>
      <c r="I33" s="27"/>
      <c r="J33" s="27"/>
      <c r="K33" s="27"/>
      <c r="L33" s="27"/>
      <c r="M33" s="27"/>
      <c r="N33" s="27"/>
      <c r="O33" s="27"/>
      <c r="P33" s="27"/>
      <c r="Q33" s="27"/>
      <c r="R33" s="27"/>
      <c r="S33" s="27"/>
      <c r="T33" s="27"/>
    </row>
    <row r="34">
      <c r="A34" s="27"/>
      <c r="B34" s="144" t="s">
        <v>372</v>
      </c>
      <c r="C34" s="10"/>
      <c r="D34" s="10"/>
      <c r="E34" s="10"/>
      <c r="F34" s="11"/>
      <c r="G34" s="27"/>
      <c r="H34" s="27"/>
      <c r="I34" s="27"/>
      <c r="J34" s="27"/>
      <c r="K34" s="27"/>
      <c r="L34" s="27"/>
      <c r="M34" s="27"/>
      <c r="N34" s="27"/>
      <c r="O34" s="27"/>
      <c r="P34" s="27"/>
      <c r="Q34" s="27"/>
      <c r="R34" s="27"/>
      <c r="S34" s="27"/>
      <c r="T34" s="27"/>
    </row>
    <row r="35" ht="17.25" customHeight="1">
      <c r="A35" s="27"/>
      <c r="B35" s="14"/>
      <c r="C35" s="15"/>
      <c r="D35" s="15"/>
      <c r="E35" s="15"/>
      <c r="F35" s="16"/>
      <c r="G35" s="27"/>
      <c r="H35" s="27"/>
      <c r="I35" s="27"/>
      <c r="J35" s="27"/>
      <c r="K35" s="27"/>
      <c r="L35" s="27"/>
      <c r="M35" s="27"/>
      <c r="N35" s="27"/>
      <c r="O35" s="27"/>
      <c r="P35" s="27"/>
      <c r="Q35" s="27"/>
      <c r="R35" s="27"/>
      <c r="S35" s="27"/>
      <c r="T35" s="27"/>
    </row>
    <row r="36">
      <c r="A36" s="27"/>
      <c r="B36" s="27"/>
      <c r="C36" s="27"/>
      <c r="D36" s="27"/>
      <c r="E36" s="27"/>
      <c r="F36" s="27"/>
      <c r="G36" s="27"/>
      <c r="H36" s="27"/>
      <c r="I36" s="27"/>
      <c r="J36" s="27"/>
      <c r="K36" s="27"/>
      <c r="L36" s="27"/>
      <c r="M36" s="27"/>
      <c r="N36" s="27"/>
      <c r="O36" s="27"/>
      <c r="P36" s="27"/>
      <c r="Q36" s="27"/>
      <c r="R36" s="27"/>
      <c r="S36" s="27"/>
      <c r="T36" s="27"/>
    </row>
    <row r="37">
      <c r="A37" s="27"/>
      <c r="B37" s="27"/>
      <c r="C37" s="316"/>
      <c r="D37" s="316"/>
      <c r="E37" s="316"/>
      <c r="F37" s="316"/>
      <c r="G37" s="316"/>
      <c r="H37" s="27"/>
      <c r="I37" s="27"/>
      <c r="J37" s="317"/>
      <c r="K37" s="27"/>
      <c r="L37" s="27"/>
      <c r="M37" s="27"/>
      <c r="N37" s="27"/>
      <c r="O37" s="27"/>
      <c r="P37" s="27"/>
      <c r="Q37" s="27"/>
      <c r="R37" s="27"/>
      <c r="S37" s="27"/>
      <c r="T37" s="27"/>
    </row>
    <row r="38">
      <c r="A38" s="27"/>
      <c r="B38" s="318" t="s">
        <v>20</v>
      </c>
      <c r="C38" s="148" t="s">
        <v>373</v>
      </c>
      <c r="D38" s="35"/>
      <c r="E38" s="35"/>
      <c r="F38" s="319" t="str">
        <f>'🚀 Mobility program(s)'!I38</f>
        <v/>
      </c>
      <c r="G38" s="35"/>
      <c r="H38" s="36"/>
      <c r="I38" s="27"/>
      <c r="K38" s="27"/>
      <c r="L38" s="27"/>
      <c r="M38" s="27"/>
      <c r="N38" s="27"/>
      <c r="O38" s="27"/>
      <c r="P38" s="27"/>
      <c r="Q38" s="27"/>
      <c r="R38" s="27"/>
      <c r="S38" s="27"/>
      <c r="T38" s="27"/>
    </row>
    <row r="39">
      <c r="A39" s="27"/>
      <c r="B39" s="14"/>
      <c r="C39" s="148" t="s">
        <v>374</v>
      </c>
      <c r="D39" s="35"/>
      <c r="E39" s="35"/>
      <c r="F39" s="320" t="str">
        <f>'🚀 Mobility program(s)'!M109</f>
        <v/>
      </c>
      <c r="G39" s="35"/>
      <c r="H39" s="36"/>
      <c r="I39" s="27"/>
      <c r="J39" s="27"/>
      <c r="K39" s="27"/>
      <c r="L39" s="27"/>
      <c r="M39" s="27"/>
      <c r="N39" s="27"/>
      <c r="O39" s="27"/>
      <c r="P39" s="27"/>
      <c r="Q39" s="27"/>
      <c r="R39" s="27"/>
      <c r="S39" s="27"/>
      <c r="T39" s="27"/>
    </row>
    <row r="40">
      <c r="A40" s="27"/>
      <c r="B40" s="27"/>
      <c r="C40" s="27"/>
      <c r="D40" s="27"/>
      <c r="E40" s="27"/>
      <c r="F40" s="27"/>
      <c r="G40" s="27"/>
      <c r="H40" s="27"/>
      <c r="I40" s="27"/>
      <c r="J40" s="27"/>
      <c r="K40" s="27"/>
      <c r="L40" s="27"/>
      <c r="M40" s="27"/>
      <c r="N40" s="27"/>
      <c r="O40" s="27"/>
      <c r="P40" s="27"/>
      <c r="Q40" s="27"/>
      <c r="R40" s="27"/>
      <c r="S40" s="27"/>
      <c r="T40" s="27"/>
    </row>
    <row r="41">
      <c r="A41" s="27"/>
      <c r="B41" s="321"/>
      <c r="C41" s="321"/>
      <c r="D41" s="321"/>
      <c r="E41" s="321"/>
      <c r="F41" s="321"/>
      <c r="G41" s="321"/>
      <c r="H41" s="321"/>
      <c r="I41" s="321"/>
      <c r="J41" s="321"/>
      <c r="K41" s="321"/>
      <c r="L41" s="321"/>
      <c r="M41" s="321"/>
      <c r="N41" s="316"/>
      <c r="O41" s="316"/>
      <c r="P41" s="316"/>
      <c r="Q41" s="316"/>
      <c r="R41" s="27"/>
      <c r="S41" s="27"/>
      <c r="T41" s="27"/>
    </row>
    <row r="42">
      <c r="A42" s="58"/>
      <c r="B42" s="322" t="s">
        <v>375</v>
      </c>
      <c r="C42" s="323"/>
      <c r="D42" s="323"/>
      <c r="E42" s="324"/>
      <c r="F42" s="322" t="s">
        <v>376</v>
      </c>
      <c r="G42" s="323"/>
      <c r="H42" s="323"/>
      <c r="I42" s="324"/>
      <c r="J42" s="322" t="s">
        <v>377</v>
      </c>
      <c r="K42" s="323"/>
      <c r="L42" s="323"/>
      <c r="M42" s="324"/>
      <c r="N42" s="322" t="s">
        <v>378</v>
      </c>
      <c r="O42" s="323"/>
      <c r="P42" s="323"/>
      <c r="Q42" s="324"/>
      <c r="R42" s="57"/>
      <c r="S42" s="27"/>
      <c r="T42" s="27"/>
    </row>
    <row r="43">
      <c r="A43" s="58"/>
      <c r="B43" s="325" t="s">
        <v>379</v>
      </c>
      <c r="C43" s="10"/>
      <c r="D43" s="10"/>
      <c r="E43" s="326"/>
      <c r="F43" s="325" t="s">
        <v>380</v>
      </c>
      <c r="G43" s="10"/>
      <c r="H43" s="10"/>
      <c r="I43" s="326"/>
      <c r="J43" s="327" t="s">
        <v>381</v>
      </c>
      <c r="K43" s="10"/>
      <c r="L43" s="10"/>
      <c r="M43" s="326"/>
      <c r="N43" s="327" t="s">
        <v>382</v>
      </c>
      <c r="O43" s="10"/>
      <c r="P43" s="10"/>
      <c r="Q43" s="326"/>
      <c r="R43" s="57"/>
      <c r="S43" s="27"/>
      <c r="T43" s="27"/>
    </row>
    <row r="44">
      <c r="A44" s="58"/>
      <c r="B44" s="328"/>
      <c r="E44" s="329"/>
      <c r="F44" s="328"/>
      <c r="I44" s="329"/>
      <c r="J44" s="328"/>
      <c r="M44" s="329"/>
      <c r="N44" s="328"/>
      <c r="Q44" s="329"/>
      <c r="R44" s="57"/>
      <c r="S44" s="27"/>
      <c r="T44" s="27"/>
    </row>
    <row r="45">
      <c r="A45" s="58"/>
      <c r="B45" s="328"/>
      <c r="E45" s="329"/>
      <c r="F45" s="328"/>
      <c r="I45" s="329"/>
      <c r="J45" s="328"/>
      <c r="M45" s="329"/>
      <c r="N45" s="328"/>
      <c r="Q45" s="329"/>
      <c r="R45" s="57"/>
      <c r="S45" s="27"/>
      <c r="T45" s="27"/>
    </row>
    <row r="46">
      <c r="A46" s="58"/>
      <c r="B46" s="328"/>
      <c r="E46" s="329"/>
      <c r="F46" s="328"/>
      <c r="I46" s="329"/>
      <c r="J46" s="328"/>
      <c r="M46" s="329"/>
      <c r="N46" s="328"/>
      <c r="Q46" s="329"/>
      <c r="R46" s="57"/>
      <c r="S46" s="27"/>
      <c r="T46" s="27"/>
    </row>
    <row r="47">
      <c r="A47" s="58"/>
      <c r="B47" s="328"/>
      <c r="E47" s="329"/>
      <c r="F47" s="328"/>
      <c r="I47" s="329"/>
      <c r="J47" s="328"/>
      <c r="M47" s="329"/>
      <c r="N47" s="328"/>
      <c r="Q47" s="329"/>
      <c r="R47" s="57"/>
      <c r="S47" s="27"/>
      <c r="T47" s="27"/>
    </row>
    <row r="48">
      <c r="A48" s="58"/>
      <c r="B48" s="328"/>
      <c r="E48" s="329"/>
      <c r="F48" s="328"/>
      <c r="I48" s="329"/>
      <c r="J48" s="328"/>
      <c r="M48" s="329"/>
      <c r="N48" s="328"/>
      <c r="Q48" s="329"/>
      <c r="R48" s="57"/>
      <c r="S48" s="27"/>
      <c r="T48" s="27"/>
    </row>
    <row r="49">
      <c r="A49" s="58"/>
      <c r="B49" s="328"/>
      <c r="E49" s="329"/>
      <c r="F49" s="328"/>
      <c r="I49" s="329"/>
      <c r="J49" s="328"/>
      <c r="M49" s="329"/>
      <c r="N49" s="328"/>
      <c r="Q49" s="329"/>
      <c r="R49" s="57"/>
      <c r="S49" s="27"/>
      <c r="T49" s="27"/>
    </row>
    <row r="50">
      <c r="A50" s="58"/>
      <c r="B50" s="328"/>
      <c r="E50" s="329"/>
      <c r="F50" s="328"/>
      <c r="I50" s="329"/>
      <c r="J50" s="328"/>
      <c r="M50" s="329"/>
      <c r="N50" s="328"/>
      <c r="Q50" s="329"/>
      <c r="R50" s="57"/>
      <c r="S50" s="27"/>
      <c r="T50" s="27"/>
    </row>
    <row r="51">
      <c r="A51" s="58"/>
      <c r="B51" s="328"/>
      <c r="E51" s="329"/>
      <c r="F51" s="328"/>
      <c r="I51" s="329"/>
      <c r="J51" s="328"/>
      <c r="M51" s="329"/>
      <c r="N51" s="328"/>
      <c r="Q51" s="329"/>
      <c r="R51" s="57"/>
      <c r="S51" s="27"/>
      <c r="T51" s="27"/>
    </row>
    <row r="52">
      <c r="A52" s="58"/>
      <c r="B52" s="328"/>
      <c r="E52" s="329"/>
      <c r="F52" s="328"/>
      <c r="I52" s="329"/>
      <c r="J52" s="328"/>
      <c r="M52" s="329"/>
      <c r="N52" s="328"/>
      <c r="Q52" s="329"/>
      <c r="R52" s="57"/>
      <c r="S52" s="27"/>
      <c r="T52" s="27"/>
    </row>
    <row r="53">
      <c r="A53" s="58"/>
      <c r="B53" s="328"/>
      <c r="E53" s="329"/>
      <c r="F53" s="328"/>
      <c r="I53" s="329"/>
      <c r="J53" s="328"/>
      <c r="M53" s="329"/>
      <c r="N53" s="328"/>
      <c r="Q53" s="329"/>
      <c r="R53" s="57"/>
      <c r="S53" s="27"/>
      <c r="T53" s="27"/>
    </row>
    <row r="54">
      <c r="A54" s="58"/>
      <c r="B54" s="330"/>
      <c r="C54" s="331"/>
      <c r="D54" s="332"/>
      <c r="E54" s="333"/>
      <c r="F54" s="334" t="s">
        <v>383</v>
      </c>
      <c r="G54" s="323"/>
      <c r="H54" s="323"/>
      <c r="I54" s="324"/>
      <c r="J54" s="335" t="s">
        <v>384</v>
      </c>
      <c r="K54" s="331"/>
      <c r="L54" s="332"/>
      <c r="M54" s="336">
        <f>M59-7</f>
        <v>-7</v>
      </c>
      <c r="N54" s="337" t="s">
        <v>385</v>
      </c>
      <c r="O54" s="332"/>
      <c r="P54" s="338"/>
      <c r="Q54" s="339"/>
      <c r="R54" s="57"/>
      <c r="S54" s="27"/>
      <c r="T54" s="27"/>
    </row>
    <row r="55">
      <c r="A55" s="58"/>
      <c r="B55" s="340" t="s">
        <v>386</v>
      </c>
      <c r="C55" s="341"/>
      <c r="D55" s="342"/>
      <c r="E55" s="343"/>
      <c r="F55" s="344"/>
      <c r="G55" s="345"/>
      <c r="H55" s="345"/>
      <c r="I55" s="346"/>
      <c r="J55" s="347"/>
      <c r="K55" s="341"/>
      <c r="L55" s="342"/>
      <c r="M55" s="343"/>
      <c r="N55" s="348" t="s">
        <v>387</v>
      </c>
      <c r="O55" s="342"/>
      <c r="P55" s="349"/>
      <c r="Q55" s="350"/>
      <c r="R55" s="57"/>
      <c r="S55" s="27"/>
      <c r="T55" s="27"/>
    </row>
    <row r="56">
      <c r="A56" s="58"/>
      <c r="B56" s="351" t="s">
        <v>388</v>
      </c>
      <c r="C56" s="341"/>
      <c r="D56" s="342"/>
      <c r="E56" s="352">
        <f t="shared" ref="E56:E57" si="1">E57-14</f>
        <v>-58</v>
      </c>
      <c r="F56" s="353" t="s">
        <v>389</v>
      </c>
      <c r="G56" s="189"/>
      <c r="H56" s="189"/>
      <c r="I56" s="354"/>
      <c r="J56" s="355" t="s">
        <v>390</v>
      </c>
      <c r="K56" s="341"/>
      <c r="L56" s="342"/>
      <c r="M56" s="343"/>
      <c r="N56" s="348" t="s">
        <v>391</v>
      </c>
      <c r="O56" s="342"/>
      <c r="P56" s="349"/>
      <c r="Q56" s="350"/>
      <c r="R56" s="57"/>
      <c r="S56" s="27"/>
      <c r="T56" s="27"/>
    </row>
    <row r="57">
      <c r="A57" s="58"/>
      <c r="B57" s="356" t="s">
        <v>392</v>
      </c>
      <c r="C57" s="341"/>
      <c r="D57" s="342"/>
      <c r="E57" s="352">
        <f t="shared" si="1"/>
        <v>-44</v>
      </c>
      <c r="F57" s="353" t="s">
        <v>393</v>
      </c>
      <c r="G57" s="189"/>
      <c r="H57" s="189"/>
      <c r="I57" s="354"/>
      <c r="J57" s="357" t="s">
        <v>388</v>
      </c>
      <c r="K57" s="341"/>
      <c r="L57" s="342"/>
      <c r="M57" s="352">
        <f>M59-14</f>
        <v>-14</v>
      </c>
      <c r="N57" s="348" t="s">
        <v>394</v>
      </c>
      <c r="O57" s="342"/>
      <c r="P57" s="349"/>
      <c r="Q57" s="350"/>
      <c r="R57" s="57"/>
      <c r="S57" s="27"/>
      <c r="T57" s="27"/>
    </row>
    <row r="58">
      <c r="A58" s="58"/>
      <c r="B58" s="351" t="s">
        <v>395</v>
      </c>
      <c r="C58" s="341"/>
      <c r="D58" s="342"/>
      <c r="E58" s="352">
        <f>F39-30</f>
        <v>-30</v>
      </c>
      <c r="F58" s="353" t="s">
        <v>396</v>
      </c>
      <c r="G58" s="189"/>
      <c r="H58" s="189"/>
      <c r="I58" s="354"/>
      <c r="J58" s="358" t="s">
        <v>397</v>
      </c>
      <c r="K58" s="341"/>
      <c r="L58" s="342"/>
      <c r="M58" s="352">
        <f>M59-14</f>
        <v>-14</v>
      </c>
      <c r="N58" s="348" t="s">
        <v>398</v>
      </c>
      <c r="O58" s="342"/>
      <c r="P58" s="349" t="str">
        <f>'🤝 Client information'!F130</f>
        <v> </v>
      </c>
      <c r="Q58" s="350"/>
      <c r="R58" s="57"/>
      <c r="S58" s="27"/>
      <c r="T58" s="27"/>
    </row>
    <row r="59">
      <c r="A59" s="58"/>
      <c r="B59" s="347"/>
      <c r="C59" s="341"/>
      <c r="D59" s="342"/>
      <c r="E59" s="343"/>
      <c r="F59" s="353" t="s">
        <v>399</v>
      </c>
      <c r="G59" s="189"/>
      <c r="H59" s="189"/>
      <c r="I59" s="354"/>
      <c r="J59" s="357" t="s">
        <v>400</v>
      </c>
      <c r="K59" s="341"/>
      <c r="L59" s="342"/>
      <c r="M59" s="352" t="str">
        <f>F39</f>
        <v/>
      </c>
      <c r="N59" s="348" t="s">
        <v>401</v>
      </c>
      <c r="O59" s="342"/>
      <c r="P59" s="359" t="s">
        <v>402</v>
      </c>
      <c r="Q59" s="350"/>
      <c r="R59" s="57"/>
      <c r="S59" s="27"/>
      <c r="T59" s="27"/>
    </row>
    <row r="60">
      <c r="A60" s="58"/>
      <c r="B60" s="360" t="s">
        <v>403</v>
      </c>
      <c r="C60" s="341"/>
      <c r="D60" s="342"/>
      <c r="E60" s="352">
        <f>E57</f>
        <v>-44</v>
      </c>
      <c r="F60" s="353" t="s">
        <v>404</v>
      </c>
      <c r="G60" s="189"/>
      <c r="H60" s="189"/>
      <c r="I60" s="354"/>
      <c r="J60" s="347"/>
      <c r="K60" s="341"/>
      <c r="L60" s="342"/>
      <c r="M60" s="343"/>
      <c r="N60" s="348" t="s">
        <v>405</v>
      </c>
      <c r="O60" s="342"/>
      <c r="P60" s="359" t="s">
        <v>406</v>
      </c>
      <c r="Q60" s="350"/>
      <c r="R60" s="57"/>
      <c r="S60" s="27"/>
      <c r="T60" s="27"/>
    </row>
    <row r="61">
      <c r="A61" s="58"/>
      <c r="B61" s="360" t="s">
        <v>407</v>
      </c>
      <c r="C61" s="341"/>
      <c r="D61" s="342"/>
      <c r="E61" s="352">
        <f>E60+2</f>
        <v>-42</v>
      </c>
      <c r="F61" s="361"/>
      <c r="G61" s="189"/>
      <c r="H61" s="189"/>
      <c r="I61" s="354"/>
      <c r="J61" s="360" t="s">
        <v>403</v>
      </c>
      <c r="K61" s="341"/>
      <c r="L61" s="342"/>
      <c r="M61" s="352" t="str">
        <f>F39</f>
        <v/>
      </c>
      <c r="N61" s="348" t="s">
        <v>408</v>
      </c>
      <c r="O61" s="342"/>
      <c r="P61" s="359" t="s">
        <v>409</v>
      </c>
      <c r="Q61" s="350"/>
      <c r="R61" s="57"/>
      <c r="S61" s="27"/>
      <c r="T61" s="27"/>
    </row>
    <row r="62">
      <c r="A62" s="58"/>
      <c r="B62" s="362"/>
      <c r="C62" s="363"/>
      <c r="D62" s="364"/>
      <c r="E62" s="365"/>
      <c r="F62" s="366"/>
      <c r="G62" s="367"/>
      <c r="H62" s="367"/>
      <c r="I62" s="368"/>
      <c r="J62" s="369" t="s">
        <v>410</v>
      </c>
      <c r="K62" s="363"/>
      <c r="L62" s="364"/>
      <c r="M62" s="370">
        <f>F39+2</f>
        <v>2</v>
      </c>
      <c r="N62" s="371" t="s">
        <v>411</v>
      </c>
      <c r="O62" s="364"/>
      <c r="P62" s="372" t="s">
        <v>412</v>
      </c>
      <c r="Q62" s="373"/>
      <c r="R62" s="57"/>
      <c r="S62" s="27"/>
      <c r="T62" s="27"/>
    </row>
    <row r="63">
      <c r="A63" s="374"/>
      <c r="B63" s="375"/>
      <c r="C63" s="117"/>
      <c r="D63" s="117"/>
      <c r="E63" s="376"/>
      <c r="F63" s="377"/>
      <c r="G63" s="345"/>
      <c r="H63" s="345"/>
      <c r="I63" s="346"/>
      <c r="J63" s="378"/>
      <c r="K63" s="379"/>
      <c r="L63" s="379"/>
      <c r="M63" s="380"/>
      <c r="N63" s="381"/>
      <c r="O63" s="19"/>
      <c r="P63" s="19"/>
      <c r="Q63" s="382"/>
      <c r="R63" s="57"/>
      <c r="S63" s="27"/>
      <c r="T63" s="27"/>
    </row>
    <row r="64">
      <c r="A64" s="58"/>
      <c r="B64" s="383" t="s">
        <v>413</v>
      </c>
      <c r="C64" s="384"/>
      <c r="D64" s="384"/>
      <c r="E64" s="385"/>
      <c r="F64" s="386" t="s">
        <v>414</v>
      </c>
      <c r="G64" s="387"/>
      <c r="H64" s="387"/>
      <c r="I64" s="388"/>
      <c r="J64" s="389" t="s">
        <v>415</v>
      </c>
      <c r="K64" s="384"/>
      <c r="L64" s="384"/>
      <c r="M64" s="385"/>
      <c r="N64" s="389" t="s">
        <v>416</v>
      </c>
      <c r="O64" s="384"/>
      <c r="P64" s="384"/>
      <c r="Q64" s="385"/>
      <c r="R64" s="57"/>
      <c r="S64" s="27"/>
      <c r="T64" s="27"/>
    </row>
    <row r="65">
      <c r="A65" s="27"/>
      <c r="B65" s="19"/>
      <c r="C65" s="19"/>
      <c r="D65" s="19"/>
      <c r="E65" s="19"/>
      <c r="F65" s="19"/>
      <c r="G65" s="19"/>
      <c r="H65" s="19"/>
      <c r="I65" s="19"/>
      <c r="J65" s="19"/>
      <c r="K65" s="19"/>
      <c r="L65" s="19"/>
      <c r="M65" s="19"/>
      <c r="N65" s="19"/>
      <c r="O65" s="19"/>
      <c r="P65" s="19"/>
      <c r="Q65" s="19"/>
      <c r="R65" s="27"/>
      <c r="S65" s="27"/>
      <c r="T65" s="27"/>
    </row>
    <row r="66">
      <c r="A66" s="27"/>
      <c r="B66" s="27"/>
      <c r="C66" s="27"/>
      <c r="D66" s="27"/>
      <c r="E66" s="27"/>
      <c r="F66" s="27"/>
      <c r="G66" s="27"/>
      <c r="H66" s="27"/>
      <c r="I66" s="27"/>
      <c r="J66" s="27"/>
      <c r="K66" s="27"/>
      <c r="L66" s="27"/>
      <c r="M66" s="27"/>
      <c r="N66" s="27"/>
      <c r="O66" s="27"/>
      <c r="P66" s="27"/>
      <c r="Q66" s="27"/>
      <c r="R66" s="27"/>
      <c r="S66" s="27"/>
      <c r="T66" s="27"/>
    </row>
    <row r="67">
      <c r="A67" s="27"/>
      <c r="B67" s="27"/>
      <c r="C67" s="27"/>
      <c r="D67" s="27"/>
      <c r="E67" s="27"/>
      <c r="F67" s="27"/>
      <c r="G67" s="27"/>
      <c r="H67" s="27"/>
      <c r="I67" s="27"/>
      <c r="J67" s="27"/>
      <c r="K67" s="27"/>
      <c r="L67" s="27"/>
      <c r="M67" s="27"/>
      <c r="N67" s="27"/>
      <c r="O67" s="27"/>
      <c r="P67" s="27"/>
      <c r="Q67" s="27"/>
      <c r="R67" s="27"/>
      <c r="S67" s="27"/>
      <c r="T67" s="27"/>
    </row>
  </sheetData>
  <mergeCells count="66">
    <mergeCell ref="J55:L55"/>
    <mergeCell ref="N55:O55"/>
    <mergeCell ref="J56:L56"/>
    <mergeCell ref="N56:O56"/>
    <mergeCell ref="P56:Q56"/>
    <mergeCell ref="N57:O57"/>
    <mergeCell ref="P57:Q57"/>
    <mergeCell ref="J57:L57"/>
    <mergeCell ref="J58:L58"/>
    <mergeCell ref="N58:O58"/>
    <mergeCell ref="P58:Q58"/>
    <mergeCell ref="J59:L59"/>
    <mergeCell ref="P59:Q59"/>
    <mergeCell ref="J60:L60"/>
    <mergeCell ref="P60:Q60"/>
    <mergeCell ref="B62:D62"/>
    <mergeCell ref="B64:E64"/>
    <mergeCell ref="B55:D55"/>
    <mergeCell ref="B56:D56"/>
    <mergeCell ref="B57:D57"/>
    <mergeCell ref="B58:D58"/>
    <mergeCell ref="B59:D59"/>
    <mergeCell ref="B60:D60"/>
    <mergeCell ref="B61:D61"/>
    <mergeCell ref="C39:E39"/>
    <mergeCell ref="B42:E42"/>
    <mergeCell ref="F42:I42"/>
    <mergeCell ref="J42:M42"/>
    <mergeCell ref="N42:Q42"/>
    <mergeCell ref="C12:C13"/>
    <mergeCell ref="D12:G13"/>
    <mergeCell ref="B34:F35"/>
    <mergeCell ref="B38:B39"/>
    <mergeCell ref="C38:E38"/>
    <mergeCell ref="F38:H38"/>
    <mergeCell ref="F39:H39"/>
    <mergeCell ref="N54:O54"/>
    <mergeCell ref="P54:Q54"/>
    <mergeCell ref="B43:E53"/>
    <mergeCell ref="F43:I53"/>
    <mergeCell ref="J43:M53"/>
    <mergeCell ref="N43:Q53"/>
    <mergeCell ref="B54:D54"/>
    <mergeCell ref="J54:L54"/>
    <mergeCell ref="P55:Q55"/>
    <mergeCell ref="N59:O59"/>
    <mergeCell ref="N60:O60"/>
    <mergeCell ref="J61:L61"/>
    <mergeCell ref="N61:O61"/>
    <mergeCell ref="P61:Q61"/>
    <mergeCell ref="F61:I61"/>
    <mergeCell ref="F62:I62"/>
    <mergeCell ref="J62:L62"/>
    <mergeCell ref="N62:O62"/>
    <mergeCell ref="P62:Q62"/>
    <mergeCell ref="F63:I63"/>
    <mergeCell ref="F64:I64"/>
    <mergeCell ref="J64:M64"/>
    <mergeCell ref="N64:Q64"/>
    <mergeCell ref="F54:I54"/>
    <mergeCell ref="F55:I55"/>
    <mergeCell ref="F56:I56"/>
    <mergeCell ref="F57:I57"/>
    <mergeCell ref="F58:I58"/>
    <mergeCell ref="F59:I59"/>
    <mergeCell ref="F60:I60"/>
  </mergeCells>
  <hyperlinks>
    <hyperlink r:id="rId1" ref="P59"/>
    <hyperlink r:id="rId2" ref="P60"/>
    <hyperlink r:id="rId3" ref="P61"/>
    <hyperlink r:id="rId4" ref="P62"/>
  </hyperlinks>
  <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cols>
    <col customWidth="1" min="3" max="3" width="7.13"/>
    <col customWidth="1" min="17" max="17" width="9.63"/>
  </cols>
  <sheetData>
    <row r="1">
      <c r="A1" s="1"/>
      <c r="B1" s="1"/>
      <c r="C1" s="1"/>
      <c r="D1" s="1"/>
      <c r="E1" s="1"/>
      <c r="F1" s="1"/>
      <c r="G1" s="1"/>
      <c r="H1" s="1"/>
      <c r="I1" s="1"/>
      <c r="J1" s="1"/>
      <c r="K1" s="1"/>
      <c r="L1" s="1"/>
      <c r="M1" s="1"/>
      <c r="N1" s="1"/>
      <c r="O1" s="1"/>
      <c r="P1" s="1"/>
      <c r="Q1" s="1"/>
    </row>
    <row r="2">
      <c r="A2" s="1"/>
      <c r="B2" s="1"/>
      <c r="C2" s="1"/>
      <c r="D2" s="1"/>
      <c r="E2" s="1"/>
      <c r="F2" s="1"/>
      <c r="G2" s="1"/>
      <c r="H2" s="1"/>
      <c r="I2" s="1"/>
      <c r="J2" s="1"/>
      <c r="K2" s="1"/>
      <c r="L2" s="1"/>
      <c r="M2" s="1"/>
      <c r="N2" s="1"/>
      <c r="O2" s="1"/>
      <c r="P2" s="1"/>
      <c r="Q2" s="1"/>
    </row>
    <row r="3">
      <c r="A3" s="1"/>
      <c r="B3" s="1"/>
      <c r="C3" s="1"/>
      <c r="D3" s="1"/>
      <c r="E3" s="1"/>
      <c r="F3" s="1"/>
      <c r="G3" s="1"/>
      <c r="H3" s="1"/>
      <c r="I3" s="1"/>
      <c r="J3" s="1"/>
      <c r="K3" s="1"/>
      <c r="L3" s="1"/>
      <c r="M3" s="1"/>
      <c r="N3" s="1"/>
      <c r="O3" s="1"/>
      <c r="P3" s="1"/>
      <c r="Q3" s="1"/>
    </row>
    <row r="4">
      <c r="A4" s="1"/>
      <c r="B4" s="1"/>
      <c r="C4" s="1"/>
      <c r="D4" s="1"/>
      <c r="E4" s="1"/>
      <c r="F4" s="1"/>
      <c r="G4" s="1"/>
      <c r="H4" s="1"/>
      <c r="I4" s="1"/>
      <c r="J4" s="1"/>
      <c r="K4" s="1"/>
      <c r="L4" s="1"/>
      <c r="M4" s="1"/>
      <c r="N4" s="1"/>
      <c r="O4" s="1"/>
      <c r="P4" s="1"/>
      <c r="Q4" s="1"/>
    </row>
    <row r="5">
      <c r="A5" s="1"/>
      <c r="B5" s="1"/>
      <c r="C5" s="1"/>
      <c r="D5" s="1"/>
      <c r="E5" s="1"/>
      <c r="F5" s="1"/>
      <c r="G5" s="1"/>
      <c r="H5" s="1"/>
      <c r="I5" s="1"/>
      <c r="J5" s="1"/>
      <c r="K5" s="1"/>
      <c r="L5" s="1"/>
      <c r="M5" s="1"/>
      <c r="N5" s="1"/>
      <c r="O5" s="1"/>
      <c r="P5" s="1"/>
      <c r="Q5" s="1"/>
    </row>
    <row r="6">
      <c r="A6" s="1"/>
      <c r="B6" s="1"/>
      <c r="C6" s="1"/>
      <c r="D6" s="1"/>
      <c r="E6" s="1"/>
      <c r="F6" s="1"/>
      <c r="G6" s="1"/>
      <c r="H6" s="1"/>
      <c r="I6" s="1"/>
      <c r="J6" s="1"/>
      <c r="K6" s="1"/>
      <c r="L6" s="1"/>
      <c r="M6" s="1"/>
      <c r="N6" s="1"/>
      <c r="O6" s="1"/>
      <c r="P6" s="1"/>
      <c r="Q6" s="1"/>
    </row>
    <row r="7">
      <c r="A7" s="1"/>
      <c r="B7" s="1"/>
      <c r="C7" s="1"/>
      <c r="D7" s="1"/>
      <c r="E7" s="1"/>
      <c r="F7" s="1"/>
      <c r="G7" s="1"/>
      <c r="H7" s="1"/>
      <c r="I7" s="1"/>
      <c r="J7" s="1"/>
      <c r="K7" s="1"/>
      <c r="L7" s="1"/>
      <c r="M7" s="1"/>
      <c r="N7" s="1"/>
      <c r="O7" s="1"/>
      <c r="P7" s="1"/>
      <c r="Q7" s="1"/>
    </row>
    <row r="8">
      <c r="A8" s="27"/>
      <c r="B8" s="27"/>
      <c r="C8" s="27"/>
      <c r="D8" s="27"/>
      <c r="E8" s="27"/>
      <c r="F8" s="27"/>
      <c r="G8" s="27"/>
      <c r="H8" s="27"/>
      <c r="I8" s="27"/>
      <c r="J8" s="27"/>
      <c r="K8" s="27"/>
      <c r="L8" s="27"/>
      <c r="M8" s="27"/>
      <c r="N8" s="27"/>
      <c r="O8" s="27"/>
      <c r="P8" s="27"/>
      <c r="Q8" s="27"/>
    </row>
    <row r="9">
      <c r="A9" s="27"/>
      <c r="B9" s="27"/>
      <c r="C9" s="27"/>
      <c r="D9" s="27"/>
      <c r="E9" s="27"/>
      <c r="F9" s="27"/>
      <c r="G9" s="27"/>
      <c r="H9" s="27"/>
      <c r="I9" s="27"/>
      <c r="J9" s="27"/>
      <c r="K9" s="27"/>
      <c r="L9" s="27"/>
      <c r="M9" s="27"/>
      <c r="N9" s="27"/>
      <c r="O9" s="27"/>
      <c r="P9" s="27"/>
      <c r="Q9" s="27"/>
    </row>
    <row r="10">
      <c r="A10" s="27"/>
      <c r="B10" s="27"/>
      <c r="C10" s="27"/>
      <c r="D10" s="27"/>
      <c r="E10" s="27"/>
      <c r="F10" s="27"/>
      <c r="G10" s="27"/>
      <c r="H10" s="27"/>
      <c r="I10" s="27"/>
      <c r="J10" s="27"/>
      <c r="K10" s="27"/>
      <c r="L10" s="27"/>
      <c r="M10" s="27"/>
      <c r="N10" s="27"/>
      <c r="O10" s="27"/>
      <c r="P10" s="27"/>
      <c r="Q10" s="27"/>
    </row>
    <row r="11">
      <c r="A11" s="27"/>
      <c r="B11" s="27"/>
      <c r="C11" s="27"/>
      <c r="D11" s="27"/>
      <c r="E11" s="27"/>
      <c r="F11" s="27"/>
      <c r="G11" s="27"/>
      <c r="H11" s="27"/>
      <c r="I11" s="27"/>
      <c r="J11" s="27"/>
      <c r="K11" s="27"/>
      <c r="L11" s="27"/>
      <c r="M11" s="27"/>
      <c r="N11" s="27"/>
      <c r="O11" s="27"/>
      <c r="P11" s="27"/>
      <c r="Q11" s="27"/>
    </row>
    <row r="12" ht="18.0" customHeight="1">
      <c r="A12" s="27"/>
      <c r="B12" s="143" t="s">
        <v>417</v>
      </c>
      <c r="C12" s="27"/>
      <c r="D12" s="20" t="s">
        <v>418</v>
      </c>
      <c r="E12" s="10"/>
      <c r="F12" s="10"/>
      <c r="G12" s="11"/>
      <c r="H12" s="27"/>
      <c r="I12" s="27"/>
      <c r="J12" s="27"/>
      <c r="K12" s="27"/>
      <c r="L12" s="27"/>
      <c r="M12" s="27"/>
      <c r="N12" s="27"/>
      <c r="O12" s="27"/>
      <c r="P12" s="27"/>
      <c r="Q12" s="27"/>
    </row>
    <row r="13" ht="16.5" customHeight="1">
      <c r="A13" s="27"/>
      <c r="B13" s="48"/>
      <c r="C13" s="22"/>
      <c r="D13" s="14"/>
      <c r="E13" s="15"/>
      <c r="F13" s="15"/>
      <c r="G13" s="16"/>
      <c r="H13" s="22"/>
      <c r="I13" s="22"/>
      <c r="J13" s="27"/>
      <c r="K13" s="27"/>
      <c r="L13" s="27"/>
      <c r="M13" s="27"/>
      <c r="N13" s="27"/>
      <c r="O13" s="27"/>
      <c r="P13" s="27"/>
      <c r="Q13" s="27"/>
    </row>
    <row r="14">
      <c r="A14" s="27"/>
      <c r="B14" s="27"/>
      <c r="C14" s="27"/>
      <c r="D14" s="27"/>
      <c r="E14" s="27"/>
      <c r="F14" s="27"/>
      <c r="G14" s="27"/>
      <c r="H14" s="27"/>
      <c r="I14" s="27"/>
      <c r="J14" s="27"/>
      <c r="K14" s="27"/>
      <c r="L14" s="27"/>
      <c r="M14" s="27"/>
      <c r="N14" s="27"/>
      <c r="O14" s="27"/>
      <c r="P14" s="27"/>
      <c r="Q14" s="27"/>
    </row>
    <row r="15">
      <c r="A15" s="27"/>
      <c r="B15" s="27"/>
      <c r="C15" s="27"/>
      <c r="D15" s="27"/>
      <c r="E15" s="27"/>
      <c r="F15" s="27"/>
      <c r="G15" s="27"/>
      <c r="H15" s="27"/>
      <c r="I15" s="27"/>
      <c r="J15" s="27"/>
      <c r="K15" s="27"/>
      <c r="L15" s="27"/>
      <c r="M15" s="27"/>
      <c r="N15" s="27"/>
      <c r="O15" s="27"/>
      <c r="P15" s="27"/>
      <c r="Q15" s="27"/>
    </row>
    <row r="16">
      <c r="A16" s="218"/>
      <c r="B16" s="27"/>
      <c r="C16" s="27"/>
      <c r="D16" s="144" t="s">
        <v>419</v>
      </c>
      <c r="E16" s="10"/>
      <c r="F16" s="10"/>
      <c r="G16" s="10"/>
      <c r="H16" s="11"/>
      <c r="I16" s="27"/>
      <c r="J16" s="27"/>
      <c r="K16" s="27"/>
      <c r="L16" s="27"/>
      <c r="M16" s="27"/>
      <c r="N16" s="27"/>
      <c r="O16" s="27"/>
      <c r="P16" s="27"/>
      <c r="Q16" s="27"/>
    </row>
    <row r="17" ht="17.25" customHeight="1" collapsed="1">
      <c r="A17" s="146" t="s">
        <v>420</v>
      </c>
      <c r="B17" s="27"/>
      <c r="C17" s="27"/>
      <c r="D17" s="14"/>
      <c r="E17" s="15"/>
      <c r="F17" s="15"/>
      <c r="G17" s="15"/>
      <c r="H17" s="16"/>
      <c r="I17" s="27"/>
      <c r="J17" s="27"/>
      <c r="K17" s="27"/>
      <c r="L17" s="27"/>
      <c r="M17" s="27"/>
      <c r="N17" s="27"/>
      <c r="O17" s="27"/>
      <c r="P17" s="27"/>
      <c r="Q17" s="27"/>
    </row>
    <row r="18" hidden="1" outlineLevel="1">
      <c r="A18" s="27"/>
      <c r="B18" s="27"/>
      <c r="C18" s="27"/>
      <c r="D18" s="25"/>
      <c r="E18" s="22"/>
      <c r="F18" s="27"/>
      <c r="G18" s="27"/>
      <c r="H18" s="27"/>
      <c r="I18" s="27"/>
      <c r="J18" s="27"/>
      <c r="K18" s="27"/>
      <c r="L18" s="27"/>
      <c r="M18" s="27"/>
      <c r="N18" s="27"/>
      <c r="O18" s="27"/>
      <c r="P18" s="27"/>
      <c r="Q18" s="27"/>
    </row>
    <row r="19" hidden="1" outlineLevel="1">
      <c r="A19" s="27"/>
      <c r="B19" s="27"/>
      <c r="C19" s="27"/>
      <c r="D19" s="26" t="s">
        <v>421</v>
      </c>
      <c r="E19" s="22"/>
      <c r="F19" s="27"/>
      <c r="G19" s="27"/>
      <c r="H19" s="27"/>
      <c r="I19" s="27"/>
      <c r="J19" s="27"/>
      <c r="K19" s="27"/>
      <c r="L19" s="27"/>
      <c r="M19" s="27"/>
      <c r="N19" s="27"/>
      <c r="O19" s="27"/>
      <c r="P19" s="27"/>
      <c r="Q19" s="27"/>
    </row>
    <row r="20" hidden="1" outlineLevel="1">
      <c r="A20" s="27"/>
      <c r="B20" s="27"/>
      <c r="C20" s="27"/>
      <c r="D20" s="26" t="s">
        <v>422</v>
      </c>
      <c r="E20" s="22"/>
      <c r="F20" s="27"/>
      <c r="G20" s="27"/>
      <c r="H20" s="27"/>
      <c r="I20" s="27"/>
      <c r="J20" s="27"/>
      <c r="K20" s="27"/>
      <c r="L20" s="27"/>
      <c r="M20" s="27"/>
      <c r="N20" s="27"/>
      <c r="O20" s="27"/>
      <c r="P20" s="27"/>
      <c r="Q20" s="27"/>
    </row>
    <row r="21" hidden="1" outlineLevel="1">
      <c r="A21" s="27"/>
      <c r="B21" s="27"/>
      <c r="C21" s="27"/>
      <c r="D21" s="26" t="s">
        <v>423</v>
      </c>
      <c r="E21" s="22"/>
      <c r="F21" s="27"/>
      <c r="G21" s="27"/>
      <c r="H21" s="27"/>
      <c r="I21" s="27"/>
      <c r="J21" s="27"/>
      <c r="K21" s="27"/>
      <c r="L21" s="27"/>
      <c r="M21" s="27"/>
      <c r="N21" s="27"/>
      <c r="O21" s="27"/>
      <c r="P21" s="27"/>
      <c r="Q21" s="27"/>
    </row>
    <row r="22" hidden="1" outlineLevel="1">
      <c r="A22" s="27"/>
      <c r="B22" s="27"/>
      <c r="C22" s="27"/>
      <c r="D22" s="390"/>
      <c r="E22" s="22"/>
      <c r="F22" s="27"/>
      <c r="G22" s="27"/>
      <c r="H22" s="27"/>
      <c r="I22" s="27"/>
      <c r="J22" s="27"/>
      <c r="K22" s="27"/>
      <c r="L22" s="27"/>
      <c r="M22" s="27"/>
      <c r="N22" s="27"/>
      <c r="O22" s="27"/>
      <c r="P22" s="27"/>
      <c r="Q22" s="27"/>
    </row>
    <row r="23" hidden="1" outlineLevel="1">
      <c r="A23" s="27"/>
      <c r="B23" s="27"/>
      <c r="C23" s="27"/>
      <c r="D23" s="26" t="s">
        <v>424</v>
      </c>
      <c r="E23" s="22"/>
      <c r="F23" s="27"/>
      <c r="G23" s="27"/>
      <c r="H23" s="27"/>
      <c r="I23" s="27"/>
      <c r="J23" s="27"/>
      <c r="K23" s="27"/>
      <c r="L23" s="27"/>
      <c r="M23" s="27"/>
      <c r="N23" s="27"/>
      <c r="O23" s="27"/>
      <c r="P23" s="27"/>
      <c r="Q23" s="27"/>
    </row>
    <row r="24" hidden="1" outlineLevel="1">
      <c r="A24" s="27"/>
      <c r="B24" s="27"/>
      <c r="C24" s="27"/>
      <c r="D24" s="26" t="s">
        <v>425</v>
      </c>
      <c r="E24" s="22"/>
      <c r="F24" s="27"/>
      <c r="G24" s="27"/>
      <c r="H24" s="27"/>
      <c r="I24" s="27"/>
      <c r="J24" s="27"/>
      <c r="K24" s="27"/>
      <c r="L24" s="27"/>
      <c r="M24" s="27"/>
      <c r="N24" s="27"/>
      <c r="O24" s="27"/>
      <c r="P24" s="27"/>
      <c r="Q24" s="27"/>
    </row>
    <row r="25" hidden="1" outlineLevel="1">
      <c r="A25" s="27"/>
      <c r="B25" s="27"/>
      <c r="C25" s="27"/>
      <c r="D25" s="26" t="s">
        <v>426</v>
      </c>
      <c r="E25" s="27"/>
      <c r="F25" s="27"/>
      <c r="G25" s="27"/>
      <c r="H25" s="27"/>
      <c r="I25" s="27"/>
      <c r="J25" s="27"/>
      <c r="K25" s="27"/>
      <c r="L25" s="27"/>
      <c r="M25" s="27"/>
      <c r="N25" s="27"/>
      <c r="O25" s="27"/>
      <c r="P25" s="27"/>
      <c r="Q25" s="27"/>
    </row>
    <row r="26">
      <c r="A26" s="27"/>
      <c r="B26" s="27"/>
      <c r="C26" s="27"/>
      <c r="D26" s="25"/>
      <c r="E26" s="25"/>
      <c r="F26" s="25"/>
      <c r="G26" s="25"/>
      <c r="H26" s="25"/>
      <c r="I26" s="27"/>
      <c r="J26" s="27"/>
      <c r="K26" s="27"/>
      <c r="L26" s="27"/>
      <c r="M26" s="27"/>
      <c r="N26" s="27"/>
      <c r="O26" s="27"/>
      <c r="P26" s="27"/>
      <c r="Q26" s="27"/>
    </row>
    <row r="27">
      <c r="A27" s="27"/>
      <c r="B27" s="27"/>
      <c r="C27" s="27"/>
      <c r="D27" s="144" t="s">
        <v>427</v>
      </c>
      <c r="E27" s="10"/>
      <c r="F27" s="10"/>
      <c r="G27" s="10"/>
      <c r="H27" s="11"/>
      <c r="I27" s="27"/>
      <c r="J27" s="27"/>
      <c r="K27" s="27"/>
      <c r="L27" s="27"/>
      <c r="M27" s="27"/>
      <c r="N27" s="27"/>
      <c r="O27" s="27"/>
      <c r="P27" s="27"/>
      <c r="Q27" s="27"/>
    </row>
    <row r="28" ht="18.75" customHeight="1" collapsed="1">
      <c r="A28" s="146" t="s">
        <v>428</v>
      </c>
      <c r="B28" s="27"/>
      <c r="C28" s="27"/>
      <c r="D28" s="14"/>
      <c r="E28" s="15"/>
      <c r="F28" s="15"/>
      <c r="G28" s="15"/>
      <c r="H28" s="16"/>
      <c r="I28" s="27"/>
      <c r="J28" s="27"/>
      <c r="K28" s="27"/>
      <c r="L28" s="27"/>
      <c r="M28" s="27"/>
      <c r="N28" s="27"/>
      <c r="O28" s="27"/>
      <c r="P28" s="27"/>
      <c r="Q28" s="27"/>
    </row>
    <row r="29" hidden="1" outlineLevel="1">
      <c r="A29" s="27"/>
      <c r="B29" s="27"/>
      <c r="C29" s="27"/>
      <c r="D29" s="27"/>
      <c r="E29" s="27"/>
      <c r="F29" s="27"/>
      <c r="G29" s="27"/>
      <c r="H29" s="27"/>
      <c r="I29" s="27"/>
      <c r="J29" s="27"/>
      <c r="K29" s="27"/>
      <c r="L29" s="27"/>
      <c r="M29" s="27"/>
      <c r="N29" s="27"/>
      <c r="O29" s="27"/>
      <c r="P29" s="27"/>
      <c r="Q29" s="27"/>
    </row>
    <row r="30" hidden="1" outlineLevel="1">
      <c r="A30" s="27"/>
      <c r="B30" s="27"/>
      <c r="C30" s="27"/>
      <c r="D30" s="391" t="s">
        <v>429</v>
      </c>
      <c r="E30" s="26"/>
      <c r="F30" s="26"/>
      <c r="G30" s="26"/>
      <c r="H30" s="26"/>
      <c r="I30" s="27"/>
      <c r="J30" s="27"/>
      <c r="K30" s="27"/>
      <c r="L30" s="27"/>
      <c r="M30" s="27"/>
      <c r="N30" s="27"/>
      <c r="O30" s="27"/>
      <c r="P30" s="27"/>
      <c r="Q30" s="27"/>
    </row>
    <row r="31" hidden="1" outlineLevel="1">
      <c r="A31" s="27"/>
      <c r="B31" s="27"/>
      <c r="C31" s="27"/>
      <c r="D31" s="26" t="s">
        <v>430</v>
      </c>
      <c r="E31" s="26"/>
      <c r="F31" s="26"/>
      <c r="G31" s="26"/>
      <c r="H31" s="26"/>
      <c r="I31" s="27"/>
      <c r="J31" s="27"/>
      <c r="K31" s="27"/>
      <c r="L31" s="27"/>
      <c r="M31" s="27"/>
      <c r="N31" s="27"/>
      <c r="O31" s="27"/>
      <c r="P31" s="27"/>
      <c r="Q31" s="27"/>
    </row>
    <row r="32" hidden="1" outlineLevel="1">
      <c r="A32" s="27"/>
      <c r="B32" s="27"/>
      <c r="C32" s="27"/>
      <c r="D32" s="26"/>
      <c r="E32" s="26"/>
      <c r="F32" s="26"/>
      <c r="G32" s="26"/>
      <c r="H32" s="26"/>
      <c r="I32" s="27"/>
      <c r="J32" s="27"/>
      <c r="K32" s="27"/>
      <c r="L32" s="27"/>
      <c r="M32" s="27"/>
      <c r="N32" s="27"/>
      <c r="O32" s="27"/>
      <c r="P32" s="27"/>
      <c r="Q32" s="27"/>
    </row>
    <row r="33" hidden="1" outlineLevel="1">
      <c r="A33" s="27"/>
      <c r="B33" s="27"/>
      <c r="C33" s="27"/>
      <c r="D33" s="391" t="s">
        <v>431</v>
      </c>
      <c r="E33" s="26"/>
      <c r="F33" s="26"/>
      <c r="G33" s="26"/>
      <c r="H33" s="26"/>
      <c r="I33" s="27"/>
      <c r="J33" s="27"/>
      <c r="K33" s="27"/>
      <c r="L33" s="27"/>
      <c r="M33" s="27"/>
      <c r="N33" s="27"/>
      <c r="O33" s="27"/>
      <c r="P33" s="27"/>
      <c r="Q33" s="27"/>
    </row>
    <row r="34" hidden="1" outlineLevel="1">
      <c r="A34" s="27"/>
      <c r="B34" s="27"/>
      <c r="C34" s="27"/>
      <c r="D34" s="26" t="s">
        <v>432</v>
      </c>
      <c r="E34" s="26"/>
      <c r="F34" s="26"/>
      <c r="G34" s="26"/>
      <c r="H34" s="26"/>
      <c r="I34" s="27"/>
      <c r="J34" s="27"/>
      <c r="K34" s="27"/>
      <c r="L34" s="27"/>
      <c r="M34" s="27"/>
      <c r="N34" s="27"/>
      <c r="O34" s="27"/>
      <c r="P34" s="27"/>
      <c r="Q34" s="27"/>
    </row>
    <row r="35" hidden="1" outlineLevel="1">
      <c r="A35" s="27"/>
      <c r="B35" s="27"/>
      <c r="C35" s="27"/>
      <c r="D35" s="26"/>
      <c r="E35" s="26"/>
      <c r="F35" s="26"/>
      <c r="G35" s="26"/>
      <c r="H35" s="26"/>
      <c r="I35" s="27"/>
      <c r="J35" s="27"/>
      <c r="K35" s="27"/>
      <c r="L35" s="27"/>
      <c r="M35" s="27"/>
      <c r="N35" s="27"/>
      <c r="O35" s="27"/>
      <c r="P35" s="27"/>
      <c r="Q35" s="27"/>
    </row>
    <row r="36" hidden="1" outlineLevel="1">
      <c r="A36" s="27"/>
      <c r="B36" s="27"/>
      <c r="C36" s="27"/>
      <c r="D36" s="391" t="s">
        <v>433</v>
      </c>
      <c r="E36" s="26"/>
      <c r="F36" s="26"/>
      <c r="G36" s="26"/>
      <c r="H36" s="26"/>
      <c r="I36" s="27"/>
      <c r="J36" s="27"/>
      <c r="K36" s="27"/>
      <c r="L36" s="27"/>
      <c r="M36" s="27"/>
      <c r="N36" s="27"/>
      <c r="O36" s="27"/>
      <c r="P36" s="27"/>
      <c r="Q36" s="27"/>
    </row>
    <row r="37" hidden="1" outlineLevel="1">
      <c r="A37" s="27"/>
      <c r="B37" s="27"/>
      <c r="C37" s="27"/>
      <c r="D37" s="26" t="s">
        <v>434</v>
      </c>
      <c r="E37" s="26"/>
      <c r="F37" s="26"/>
      <c r="G37" s="26"/>
      <c r="H37" s="26"/>
      <c r="I37" s="27"/>
      <c r="J37" s="27"/>
      <c r="K37" s="27"/>
      <c r="L37" s="27"/>
      <c r="M37" s="27"/>
      <c r="N37" s="27"/>
      <c r="O37" s="27"/>
      <c r="P37" s="27"/>
      <c r="Q37" s="27"/>
    </row>
    <row r="38" hidden="1" outlineLevel="1">
      <c r="A38" s="27"/>
      <c r="B38" s="27"/>
      <c r="C38" s="27"/>
      <c r="D38" s="26" t="s">
        <v>435</v>
      </c>
      <c r="E38" s="26"/>
      <c r="F38" s="26"/>
      <c r="G38" s="26"/>
      <c r="H38" s="26"/>
      <c r="I38" s="27"/>
      <c r="J38" s="27"/>
      <c r="K38" s="27"/>
      <c r="L38" s="27"/>
      <c r="M38" s="27"/>
      <c r="N38" s="27"/>
      <c r="O38" s="27"/>
      <c r="P38" s="27"/>
      <c r="Q38" s="27"/>
    </row>
    <row r="39" hidden="1" outlineLevel="1">
      <c r="A39" s="27"/>
      <c r="B39" s="27"/>
      <c r="C39" s="27"/>
      <c r="E39" s="26"/>
      <c r="F39" s="26"/>
      <c r="G39" s="26"/>
      <c r="H39" s="26"/>
      <c r="I39" s="27"/>
      <c r="J39" s="27"/>
      <c r="K39" s="27"/>
      <c r="L39" s="27"/>
      <c r="M39" s="27"/>
      <c r="N39" s="27"/>
      <c r="O39" s="27"/>
      <c r="P39" s="27"/>
      <c r="Q39" s="27"/>
    </row>
    <row r="40" hidden="1" outlineLevel="1">
      <c r="A40" s="27"/>
      <c r="B40" s="27"/>
      <c r="C40" s="27"/>
      <c r="D40" s="391" t="s">
        <v>436</v>
      </c>
      <c r="E40" s="26"/>
      <c r="F40" s="26"/>
      <c r="G40" s="26"/>
      <c r="H40" s="26"/>
      <c r="I40" s="27"/>
      <c r="J40" s="27"/>
      <c r="K40" s="27"/>
      <c r="L40" s="27"/>
      <c r="M40" s="27"/>
      <c r="N40" s="27"/>
      <c r="O40" s="27"/>
      <c r="P40" s="27"/>
      <c r="Q40" s="27"/>
    </row>
    <row r="41" hidden="1" outlineLevel="1">
      <c r="A41" s="27"/>
      <c r="B41" s="27"/>
      <c r="C41" s="27"/>
      <c r="D41" s="26" t="s">
        <v>437</v>
      </c>
      <c r="E41" s="26"/>
      <c r="F41" s="26"/>
      <c r="G41" s="26"/>
      <c r="H41" s="26"/>
      <c r="I41" s="27"/>
      <c r="J41" s="27"/>
      <c r="K41" s="27"/>
      <c r="L41" s="27"/>
      <c r="M41" s="27"/>
      <c r="N41" s="27"/>
      <c r="O41" s="27"/>
      <c r="P41" s="27"/>
      <c r="Q41" s="27"/>
    </row>
    <row r="42" hidden="1" outlineLevel="1">
      <c r="A42" s="27"/>
      <c r="B42" s="27"/>
      <c r="C42" s="27"/>
      <c r="D42" s="26" t="s">
        <v>438</v>
      </c>
      <c r="E42" s="26"/>
      <c r="F42" s="26"/>
      <c r="G42" s="26"/>
      <c r="H42" s="26"/>
      <c r="I42" s="27"/>
      <c r="J42" s="27"/>
      <c r="K42" s="27"/>
      <c r="L42" s="27"/>
      <c r="M42" s="27"/>
      <c r="N42" s="27"/>
      <c r="O42" s="27"/>
      <c r="P42" s="27"/>
      <c r="Q42" s="27"/>
    </row>
    <row r="43" hidden="1" outlineLevel="1">
      <c r="A43" s="27"/>
      <c r="B43" s="27"/>
      <c r="C43" s="27"/>
      <c r="D43" s="26" t="s">
        <v>439</v>
      </c>
      <c r="E43" s="26"/>
      <c r="F43" s="26"/>
      <c r="G43" s="26"/>
      <c r="H43" s="26"/>
      <c r="I43" s="27"/>
      <c r="J43" s="27"/>
      <c r="K43" s="27"/>
      <c r="L43" s="27"/>
      <c r="M43" s="27"/>
      <c r="N43" s="27"/>
      <c r="O43" s="27"/>
      <c r="P43" s="27"/>
      <c r="Q43" s="27"/>
    </row>
    <row r="44">
      <c r="A44" s="27"/>
      <c r="B44" s="27"/>
      <c r="C44" s="27"/>
      <c r="D44" s="26"/>
      <c r="E44" s="26"/>
      <c r="F44" s="26"/>
      <c r="G44" s="26"/>
      <c r="H44" s="26"/>
      <c r="I44" s="27"/>
      <c r="J44" s="27"/>
      <c r="K44" s="27"/>
      <c r="L44" s="27"/>
      <c r="M44" s="27"/>
      <c r="N44" s="27"/>
      <c r="O44" s="27"/>
      <c r="P44" s="27"/>
      <c r="Q44" s="27"/>
    </row>
    <row r="45">
      <c r="A45" s="27"/>
      <c r="B45" s="27"/>
      <c r="C45" s="27"/>
      <c r="D45" s="26"/>
      <c r="E45" s="26"/>
      <c r="F45" s="26"/>
      <c r="G45" s="26"/>
      <c r="H45" s="26"/>
      <c r="I45" s="27"/>
      <c r="J45" s="27"/>
      <c r="K45" s="27"/>
      <c r="L45" s="27"/>
      <c r="M45" s="27"/>
      <c r="N45" s="27"/>
      <c r="O45" s="27"/>
      <c r="P45" s="27"/>
      <c r="Q45" s="27"/>
    </row>
    <row r="46">
      <c r="A46" s="27"/>
      <c r="B46" s="27"/>
      <c r="C46" s="27"/>
      <c r="D46" s="26"/>
      <c r="E46" s="26"/>
      <c r="F46" s="26"/>
      <c r="G46" s="26"/>
      <c r="H46" s="26"/>
      <c r="I46" s="27"/>
      <c r="J46" s="27"/>
      <c r="K46" s="27"/>
      <c r="L46" s="27"/>
      <c r="M46" s="27"/>
      <c r="N46" s="27"/>
      <c r="O46" s="27"/>
      <c r="P46" s="27"/>
      <c r="Q46" s="27"/>
    </row>
    <row r="47">
      <c r="A47" s="27"/>
      <c r="B47" s="27"/>
      <c r="C47" s="27"/>
      <c r="D47" s="392" t="s">
        <v>440</v>
      </c>
      <c r="E47" s="26"/>
      <c r="F47" s="26"/>
      <c r="G47" s="26"/>
      <c r="H47" s="26"/>
      <c r="I47" s="27"/>
      <c r="J47" s="27"/>
      <c r="K47" s="27"/>
      <c r="L47" s="27"/>
      <c r="M47" s="27"/>
      <c r="N47" s="27"/>
      <c r="O47" s="27"/>
      <c r="P47" s="27"/>
      <c r="Q47" s="27"/>
    </row>
    <row r="48">
      <c r="A48" s="27"/>
      <c r="B48" s="27"/>
      <c r="C48" s="27"/>
      <c r="D48" s="25"/>
      <c r="E48" s="26"/>
      <c r="F48" s="26"/>
      <c r="G48" s="26"/>
      <c r="H48" s="26"/>
      <c r="I48" s="27"/>
      <c r="J48" s="27"/>
      <c r="K48" s="27"/>
      <c r="L48" s="27"/>
      <c r="M48" s="27"/>
      <c r="N48" s="27"/>
      <c r="O48" s="27"/>
      <c r="P48" s="27"/>
      <c r="Q48" s="27"/>
    </row>
    <row r="49">
      <c r="A49" s="27"/>
      <c r="B49" s="27"/>
      <c r="C49" s="27"/>
      <c r="D49" s="25"/>
      <c r="E49" s="26"/>
      <c r="F49" s="26"/>
      <c r="G49" s="26"/>
      <c r="H49" s="26"/>
      <c r="I49" s="27"/>
      <c r="J49" s="27"/>
      <c r="K49" s="27"/>
      <c r="L49" s="27"/>
      <c r="M49" s="27"/>
      <c r="N49" s="27"/>
      <c r="O49" s="27"/>
      <c r="P49" s="27"/>
      <c r="Q49" s="27"/>
    </row>
    <row r="50">
      <c r="A50" s="27"/>
      <c r="B50" s="27"/>
      <c r="C50" s="27"/>
      <c r="D50" s="144" t="s">
        <v>441</v>
      </c>
      <c r="E50" s="10"/>
      <c r="F50" s="10"/>
      <c r="G50" s="10"/>
      <c r="H50" s="10"/>
      <c r="I50" s="10"/>
      <c r="J50" s="10"/>
      <c r="K50" s="10"/>
      <c r="L50" s="11"/>
      <c r="M50" s="27"/>
      <c r="N50" s="27"/>
      <c r="O50" s="27"/>
      <c r="P50" s="27"/>
      <c r="Q50" s="27"/>
    </row>
    <row r="51" ht="18.0" customHeight="1">
      <c r="A51" s="27"/>
      <c r="B51" s="27"/>
      <c r="C51" s="27"/>
      <c r="D51" s="14"/>
      <c r="E51" s="15"/>
      <c r="F51" s="15"/>
      <c r="G51" s="15"/>
      <c r="H51" s="15"/>
      <c r="I51" s="15"/>
      <c r="J51" s="15"/>
      <c r="K51" s="15"/>
      <c r="L51" s="16"/>
      <c r="M51" s="27"/>
      <c r="N51" s="27"/>
      <c r="O51" s="27"/>
      <c r="P51" s="27"/>
      <c r="Q51" s="27"/>
    </row>
    <row r="52">
      <c r="A52" s="27"/>
      <c r="B52" s="27"/>
      <c r="C52" s="27"/>
      <c r="D52" s="393"/>
      <c r="E52" s="393"/>
      <c r="F52" s="393"/>
      <c r="G52" s="393"/>
      <c r="H52" s="393"/>
      <c r="I52" s="27"/>
      <c r="J52" s="316"/>
      <c r="K52" s="114"/>
      <c r="L52" s="114"/>
      <c r="M52" s="114"/>
      <c r="N52" s="114"/>
      <c r="O52" s="27"/>
      <c r="P52" s="27"/>
      <c r="Q52" s="27"/>
    </row>
    <row r="53">
      <c r="A53" s="27"/>
      <c r="B53" s="27"/>
      <c r="C53" s="58"/>
      <c r="D53" s="394" t="s">
        <v>100</v>
      </c>
      <c r="E53" s="395"/>
      <c r="F53" s="395"/>
      <c r="G53" s="395"/>
      <c r="H53" s="395"/>
      <c r="I53" s="395"/>
      <c r="J53" s="395"/>
      <c r="K53" s="395"/>
      <c r="L53" s="395"/>
      <c r="M53" s="396"/>
      <c r="N53" s="145" t="s">
        <v>161</v>
      </c>
      <c r="O53" s="35"/>
      <c r="P53" s="36"/>
      <c r="Q53" s="27"/>
    </row>
    <row r="54">
      <c r="A54" s="146" t="s">
        <v>442</v>
      </c>
      <c r="B54" s="27"/>
      <c r="C54" s="58"/>
      <c r="D54" s="397" t="str">
        <f>'🤝 Client information'!C80</f>
        <v/>
      </c>
      <c r="E54" s="395"/>
      <c r="F54" s="395"/>
      <c r="G54" s="395"/>
      <c r="H54" s="398"/>
      <c r="I54" s="399"/>
      <c r="J54" s="400" t="s">
        <v>443</v>
      </c>
      <c r="K54" s="401">
        <f>IFERROR(
  (
    IF(K55="Shared with Skipr",1,IF(OR(K55="Got it (not shared yet)",K55="transfer confirmation received"),0.75,IF(OR(K55="Collecting",K55="3. info shared with finance colleague"),0.25,0)))
    +IF(K56="Shared with Skipr",1,IF(OR(K56="Got it (not shared yet)",K56="transfer confirmation received"),0.75,IF(OR(K56="Collecting",K56="3. info shared with finance colleague"),0.25,0)))
    +IF(K58="Shared with Skipr",1,IF(OR(K58="Got it (not shared yet)",K58="transfer confirmation received"),0.75,IF(OR(K58="Collecting",K58="3. info shared with finance colleague"),0.25,0)))
    +IF(K60="Shared with Skipr",1,IF(OR(K60="Got it (not shared yet)",K60="transfer confirmation received"),0.75,IF(OR(K60="Collecting",K60="3. info shared with finance colleague"),0.25,0)))
    +IF(K62="Shared with Skipr",1,IF(OR(K62="Got it (not shared yet)",K62="transfer confirmation received"),0.75,IF(OR(K62="Collecting",K62="3. info shared with finance colleague"),0.25,0)))
    +IF(K64="Shared with Skipr",1,IF(OR(K64="Got it (not shared yet)",K64="transfer confirmation received"),0.75,IF(OR(K64="Collecting",K64="3. info shared with finance colleague"),0.25,0)))
    +IF(K66="Shared with Skipr",1,IF(OR(K66="Got it (not shared yet)",K66="transfer confirmation received"),0.75,IF(OR(K66="Collecting",K66="3. info shared with finance colleague"),0.25,0)))
    +IF(K68="Shared with Skipr",1,IF(OR(K68="Got it (not shared yet)",K68="transfer confirmation received"),0.75,IF(OR(K68="Collecting",K68="3. info shared with finance colleague"),0.25,0)))
    +IF(K70="Shared with Skipr",1,IF(OR(K70="Got it (not shared yet)",K70="transfer confirmation received"),0.75,IF(OR(K70="Collecting",K70="info shared with finance colleague"),0.25,0)))
    +IF(K71="Shared with Skipr",1,IF(OR(K71="Got it (not shared yet)",K71="transfer confirmation received"),0.75,IF(OR(K71="Collecting",K71="3. info shared with finance colleague"),0.25,0)))
    +IF(K76="Shared with Skipr",1,IF(OR(K76="Got it (not shared yet)",K76="transfer confirmation received"),0.75,IF(OR(K76="Collecting",K76="3. info shared with finance colleague"),0.25,0)))
    +IF(K81="5. Skipr informed of Transfer",1,IF(OR(K81="Got it (not shared yet)",K81="transfer confirmation received"),0.75,IF(OR(K81="Collecting",K81="3. info shared with finance colleague"),0.25,0)))
  ) 
  /
  (
    COUNTIF(K55,"&lt;&gt;N/A")+COUNTIF(K56,"&lt;&gt;N/A")+COUNTIF(K58,"&lt;&gt;N/A")+COUNTIF(K60,"&lt;&gt;N/A")+COUNTIF(K62,"&lt;&gt;N/A")+COUNTIF(K64,"&lt;&gt;N/A")+COUNTIF(K66,"&lt;&gt;N/A")+COUNTIF(K68,"&lt;&gt;N/A")+COUNTIF(K70,"&lt;&gt;N/A")+COUNTIF(K71,"&lt;&gt;N/A")+COUNTIF(K76,"&lt;&gt;N/A")+COUNTIF(K81,"&lt;&gt;N/A")
  )
,0)</f>
        <v>0.2291666667</v>
      </c>
      <c r="L54" s="395"/>
      <c r="M54" s="43"/>
      <c r="N54" s="150"/>
      <c r="O54" s="35"/>
      <c r="P54" s="36"/>
      <c r="Q54" s="27"/>
    </row>
    <row r="55" outlineLevel="1">
      <c r="A55" s="27"/>
      <c r="B55" s="27"/>
      <c r="C55" s="58"/>
      <c r="D55" s="402" t="s">
        <v>444</v>
      </c>
      <c r="E55" s="15"/>
      <c r="F55" s="15"/>
      <c r="G55" s="15"/>
      <c r="H55" s="15"/>
      <c r="I55" s="15"/>
      <c r="J55" s="16"/>
      <c r="K55" s="403" t="s">
        <v>445</v>
      </c>
      <c r="L55" s="16"/>
      <c r="M55" s="404"/>
      <c r="N55" s="150"/>
      <c r="O55" s="35"/>
      <c r="P55" s="36"/>
      <c r="Q55" s="27"/>
    </row>
    <row r="56" outlineLevel="1">
      <c r="A56" s="27"/>
      <c r="B56" s="27"/>
      <c r="C56" s="58"/>
      <c r="D56" s="405" t="s">
        <v>446</v>
      </c>
      <c r="E56" s="15"/>
      <c r="F56" s="15"/>
      <c r="G56" s="15"/>
      <c r="H56" s="15"/>
      <c r="I56" s="15"/>
      <c r="J56" s="16"/>
      <c r="K56" s="403" t="s">
        <v>447</v>
      </c>
      <c r="L56" s="16"/>
      <c r="M56" s="404"/>
      <c r="N56" s="150"/>
      <c r="O56" s="35"/>
      <c r="P56" s="36"/>
      <c r="Q56" s="27"/>
    </row>
    <row r="57" outlineLevel="1">
      <c r="A57" s="27"/>
      <c r="B57" s="27"/>
      <c r="C57" s="406"/>
      <c r="D57" s="407" t="s">
        <v>448</v>
      </c>
      <c r="E57" s="35"/>
      <c r="F57" s="35"/>
      <c r="G57" s="35"/>
      <c r="H57" s="35"/>
      <c r="I57" s="35"/>
      <c r="J57" s="36"/>
      <c r="K57" s="408"/>
      <c r="L57" s="36"/>
      <c r="M57" s="404"/>
      <c r="N57" s="161"/>
      <c r="O57" s="35"/>
      <c r="P57" s="36"/>
      <c r="Q57" s="27"/>
    </row>
    <row r="58" outlineLevel="1">
      <c r="A58" s="27"/>
      <c r="B58" s="27"/>
      <c r="C58" s="58"/>
      <c r="D58" s="402" t="s">
        <v>449</v>
      </c>
      <c r="E58" s="15"/>
      <c r="F58" s="15"/>
      <c r="G58" s="15"/>
      <c r="H58" s="15"/>
      <c r="I58" s="15"/>
      <c r="J58" s="16"/>
      <c r="K58" s="403" t="s">
        <v>445</v>
      </c>
      <c r="L58" s="16"/>
      <c r="M58" s="404"/>
      <c r="N58" s="161"/>
      <c r="O58" s="35"/>
      <c r="P58" s="36"/>
      <c r="Q58" s="27"/>
    </row>
    <row r="59" outlineLevel="1">
      <c r="A59" s="27"/>
      <c r="B59" s="27"/>
      <c r="C59" s="58"/>
      <c r="D59" s="409" t="s">
        <v>450</v>
      </c>
      <c r="E59" s="35"/>
      <c r="F59" s="35"/>
      <c r="G59" s="35"/>
      <c r="H59" s="35"/>
      <c r="I59" s="35"/>
      <c r="J59" s="36"/>
      <c r="K59" s="408"/>
      <c r="L59" s="36"/>
      <c r="M59" s="404"/>
      <c r="N59" s="169"/>
      <c r="O59" s="35"/>
      <c r="P59" s="36"/>
      <c r="Q59" s="27"/>
    </row>
    <row r="60" outlineLevel="1">
      <c r="A60" s="27"/>
      <c r="B60" s="27"/>
      <c r="C60" s="58"/>
      <c r="D60" s="410" t="s">
        <v>451</v>
      </c>
      <c r="E60" s="35"/>
      <c r="F60" s="35"/>
      <c r="G60" s="35"/>
      <c r="H60" s="35"/>
      <c r="I60" s="35"/>
      <c r="J60" s="36"/>
      <c r="K60" s="403" t="s">
        <v>452</v>
      </c>
      <c r="L60" s="16"/>
      <c r="M60" s="404"/>
      <c r="N60" s="161"/>
      <c r="O60" s="35"/>
      <c r="P60" s="36"/>
      <c r="Q60" s="27"/>
    </row>
    <row r="61" outlineLevel="1">
      <c r="A61" s="27"/>
      <c r="B61" s="27"/>
      <c r="C61" s="58"/>
      <c r="D61" s="409" t="s">
        <v>453</v>
      </c>
      <c r="E61" s="35"/>
      <c r="F61" s="35"/>
      <c r="G61" s="35"/>
      <c r="H61" s="35"/>
      <c r="I61" s="35"/>
      <c r="J61" s="36"/>
      <c r="K61" s="408"/>
      <c r="L61" s="36"/>
      <c r="M61" s="404"/>
      <c r="N61" s="169"/>
      <c r="O61" s="35"/>
      <c r="P61" s="36"/>
      <c r="Q61" s="27"/>
    </row>
    <row r="62" outlineLevel="1">
      <c r="A62" s="218"/>
      <c r="B62" s="218"/>
      <c r="C62" s="229"/>
      <c r="D62" s="405" t="s">
        <v>454</v>
      </c>
      <c r="E62" s="15"/>
      <c r="F62" s="15"/>
      <c r="G62" s="15"/>
      <c r="H62" s="15"/>
      <c r="I62" s="15"/>
      <c r="J62" s="16"/>
      <c r="K62" s="403" t="s">
        <v>452</v>
      </c>
      <c r="L62" s="16"/>
      <c r="M62" s="404"/>
      <c r="N62" s="161"/>
      <c r="O62" s="35"/>
      <c r="P62" s="36"/>
      <c r="Q62" s="218"/>
    </row>
    <row r="63" outlineLevel="1">
      <c r="A63" s="27"/>
      <c r="B63" s="27"/>
      <c r="C63" s="114"/>
      <c r="D63" s="411"/>
      <c r="E63" s="412" t="s">
        <v>455</v>
      </c>
      <c r="F63" s="35"/>
      <c r="G63" s="35"/>
      <c r="H63" s="35"/>
      <c r="I63" s="35"/>
      <c r="J63" s="36"/>
      <c r="K63" s="403"/>
      <c r="L63" s="16"/>
      <c r="M63" s="404"/>
      <c r="N63" s="169"/>
      <c r="O63" s="35"/>
      <c r="P63" s="36"/>
      <c r="Q63" s="27"/>
    </row>
    <row r="64" outlineLevel="1">
      <c r="A64" s="27"/>
      <c r="B64" s="27"/>
      <c r="C64" s="114"/>
      <c r="D64" s="413"/>
      <c r="E64" s="414" t="s">
        <v>456</v>
      </c>
      <c r="F64" s="183"/>
      <c r="G64" s="183"/>
      <c r="H64" s="183"/>
      <c r="I64" s="183"/>
      <c r="J64" s="183"/>
      <c r="K64" s="403" t="s">
        <v>452</v>
      </c>
      <c r="L64" s="16"/>
      <c r="M64" s="404"/>
      <c r="N64" s="161"/>
      <c r="O64" s="35"/>
      <c r="P64" s="36"/>
      <c r="Q64" s="27"/>
    </row>
    <row r="65" outlineLevel="1">
      <c r="A65" s="27"/>
      <c r="B65" s="27"/>
      <c r="C65" s="114"/>
      <c r="D65" s="415" t="s">
        <v>457</v>
      </c>
      <c r="E65" s="416" t="s">
        <v>458</v>
      </c>
      <c r="F65" s="195"/>
      <c r="G65" s="195"/>
      <c r="H65" s="195"/>
      <c r="I65" s="195"/>
      <c r="J65" s="195"/>
      <c r="K65" s="195"/>
      <c r="L65" s="417"/>
      <c r="M65" s="404"/>
      <c r="N65" s="161"/>
      <c r="O65" s="35"/>
      <c r="P65" s="36"/>
      <c r="Q65" s="27"/>
    </row>
    <row r="66" outlineLevel="1">
      <c r="A66" s="27"/>
      <c r="B66" s="27"/>
      <c r="C66" s="114"/>
      <c r="D66" s="418"/>
      <c r="E66" s="419" t="s">
        <v>459</v>
      </c>
      <c r="F66" s="195"/>
      <c r="G66" s="195"/>
      <c r="H66" s="195"/>
      <c r="I66" s="195"/>
      <c r="J66" s="417"/>
      <c r="K66" s="403" t="s">
        <v>452</v>
      </c>
      <c r="L66" s="16"/>
      <c r="M66" s="404"/>
      <c r="N66" s="161"/>
      <c r="O66" s="35"/>
      <c r="P66" s="36"/>
      <c r="Q66" s="27"/>
    </row>
    <row r="67" outlineLevel="1">
      <c r="A67" s="27"/>
      <c r="B67" s="27"/>
      <c r="C67" s="114"/>
      <c r="D67" s="411"/>
      <c r="E67" s="412" t="s">
        <v>460</v>
      </c>
      <c r="F67" s="35"/>
      <c r="G67" s="35"/>
      <c r="H67" s="35"/>
      <c r="I67" s="35"/>
      <c r="J67" s="36"/>
      <c r="K67" s="403"/>
      <c r="L67" s="16"/>
      <c r="M67" s="404"/>
      <c r="N67" s="161"/>
      <c r="O67" s="35"/>
      <c r="P67" s="36"/>
      <c r="Q67" s="27"/>
    </row>
    <row r="68" outlineLevel="1">
      <c r="A68" s="27"/>
      <c r="B68" s="27"/>
      <c r="C68" s="114"/>
      <c r="D68" s="413"/>
      <c r="E68" s="414" t="s">
        <v>461</v>
      </c>
      <c r="F68" s="183"/>
      <c r="G68" s="183"/>
      <c r="H68" s="183"/>
      <c r="I68" s="183"/>
      <c r="J68" s="183"/>
      <c r="K68" s="403" t="s">
        <v>452</v>
      </c>
      <c r="L68" s="16"/>
      <c r="M68" s="404"/>
      <c r="N68" s="161"/>
      <c r="O68" s="35"/>
      <c r="P68" s="36"/>
      <c r="Q68" s="27"/>
    </row>
    <row r="69" outlineLevel="1">
      <c r="A69" s="27"/>
      <c r="B69" s="27"/>
      <c r="C69" s="114"/>
      <c r="D69" s="411"/>
      <c r="E69" s="412" t="s">
        <v>462</v>
      </c>
      <c r="F69" s="35"/>
      <c r="G69" s="35"/>
      <c r="H69" s="35"/>
      <c r="I69" s="35"/>
      <c r="J69" s="36"/>
      <c r="K69" s="403"/>
      <c r="L69" s="16"/>
      <c r="M69" s="404"/>
      <c r="N69" s="161"/>
      <c r="O69" s="35"/>
      <c r="P69" s="36"/>
      <c r="Q69" s="27"/>
    </row>
    <row r="70" outlineLevel="1">
      <c r="A70" s="27"/>
      <c r="B70" s="27"/>
      <c r="C70" s="114"/>
      <c r="D70" s="413"/>
      <c r="E70" s="414" t="s">
        <v>463</v>
      </c>
      <c r="F70" s="183"/>
      <c r="G70" s="183"/>
      <c r="H70" s="183"/>
      <c r="I70" s="183"/>
      <c r="J70" s="183"/>
      <c r="K70" s="403" t="s">
        <v>452</v>
      </c>
      <c r="L70" s="16"/>
      <c r="M70" s="404"/>
      <c r="N70" s="161"/>
      <c r="O70" s="35"/>
      <c r="P70" s="36"/>
      <c r="Q70" s="27"/>
    </row>
    <row r="71" outlineLevel="1">
      <c r="A71" s="27"/>
      <c r="B71" s="27"/>
      <c r="C71" s="114"/>
      <c r="D71" s="420" t="s">
        <v>464</v>
      </c>
      <c r="E71" s="35"/>
      <c r="F71" s="35"/>
      <c r="G71" s="35"/>
      <c r="H71" s="35"/>
      <c r="I71" s="35"/>
      <c r="J71" s="36"/>
      <c r="K71" s="403" t="s">
        <v>452</v>
      </c>
      <c r="L71" s="16"/>
      <c r="M71" s="404"/>
      <c r="N71" s="161"/>
      <c r="O71" s="35"/>
      <c r="P71" s="36"/>
      <c r="Q71" s="27"/>
    </row>
    <row r="72" outlineLevel="1">
      <c r="A72" s="27"/>
      <c r="B72" s="27"/>
      <c r="C72" s="114"/>
      <c r="D72" s="421" t="s">
        <v>465</v>
      </c>
      <c r="E72" s="183"/>
      <c r="F72" s="183"/>
      <c r="G72" s="184"/>
      <c r="H72" s="422"/>
      <c r="I72" s="422"/>
      <c r="J72" s="423" t="s">
        <v>466</v>
      </c>
      <c r="K72" s="424"/>
      <c r="L72" s="425"/>
      <c r="M72" s="404"/>
      <c r="N72" s="161"/>
      <c r="O72" s="35"/>
      <c r="P72" s="36"/>
      <c r="Q72" s="27"/>
    </row>
    <row r="73" outlineLevel="1">
      <c r="A73" s="27"/>
      <c r="B73" s="27"/>
      <c r="C73" s="114"/>
      <c r="D73" s="426"/>
      <c r="E73" s="427"/>
      <c r="F73" s="427"/>
      <c r="G73" s="427"/>
      <c r="H73" s="427"/>
      <c r="I73" s="427"/>
      <c r="J73" s="428" t="s">
        <v>467</v>
      </c>
      <c r="K73" s="424"/>
      <c r="L73" s="429"/>
      <c r="M73" s="404"/>
      <c r="N73" s="161"/>
      <c r="O73" s="35"/>
      <c r="P73" s="36"/>
      <c r="Q73" s="27"/>
    </row>
    <row r="74" outlineLevel="1">
      <c r="A74" s="27"/>
      <c r="B74" s="27"/>
      <c r="C74" s="114"/>
      <c r="D74" s="426"/>
      <c r="E74" s="427"/>
      <c r="F74" s="427"/>
      <c r="G74" s="427"/>
      <c r="H74" s="427"/>
      <c r="I74" s="427"/>
      <c r="J74" s="428" t="s">
        <v>468</v>
      </c>
      <c r="K74" s="424"/>
      <c r="L74" s="429"/>
      <c r="M74" s="404"/>
      <c r="N74" s="161"/>
      <c r="O74" s="35"/>
      <c r="P74" s="36"/>
      <c r="Q74" s="27"/>
    </row>
    <row r="75" outlineLevel="1">
      <c r="A75" s="27"/>
      <c r="B75" s="27"/>
      <c r="C75" s="114"/>
      <c r="D75" s="430"/>
      <c r="E75" s="431"/>
      <c r="F75" s="431"/>
      <c r="G75" s="431"/>
      <c r="H75" s="432"/>
      <c r="I75" s="432"/>
      <c r="J75" s="433" t="s">
        <v>469</v>
      </c>
      <c r="K75" s="424"/>
      <c r="L75" s="434"/>
      <c r="M75" s="404"/>
      <c r="N75" s="161"/>
      <c r="O75" s="35"/>
      <c r="P75" s="36"/>
      <c r="Q75" s="27"/>
    </row>
    <row r="76" outlineLevel="1">
      <c r="A76" s="27"/>
      <c r="B76" s="27"/>
      <c r="C76" s="114"/>
      <c r="D76" s="435" t="s">
        <v>470</v>
      </c>
      <c r="E76" s="35"/>
      <c r="F76" s="35"/>
      <c r="G76" s="35"/>
      <c r="H76" s="35"/>
      <c r="I76" s="35"/>
      <c r="J76" s="36"/>
      <c r="K76" s="403" t="s">
        <v>452</v>
      </c>
      <c r="L76" s="16"/>
      <c r="M76" s="404"/>
      <c r="N76" s="161"/>
      <c r="O76" s="35"/>
      <c r="P76" s="36"/>
      <c r="Q76" s="27"/>
    </row>
    <row r="77" outlineLevel="1">
      <c r="A77" s="27"/>
      <c r="B77" s="27"/>
      <c r="C77" s="114"/>
      <c r="D77" s="421" t="s">
        <v>465</v>
      </c>
      <c r="E77" s="183"/>
      <c r="F77" s="183"/>
      <c r="G77" s="184"/>
      <c r="H77" s="422"/>
      <c r="I77" s="422"/>
      <c r="J77" s="423" t="s">
        <v>466</v>
      </c>
      <c r="K77" s="424"/>
      <c r="L77" s="425"/>
      <c r="M77" s="404"/>
      <c r="N77" s="161"/>
      <c r="O77" s="35"/>
      <c r="P77" s="36"/>
      <c r="Q77" s="27"/>
    </row>
    <row r="78" outlineLevel="1">
      <c r="A78" s="27"/>
      <c r="B78" s="27"/>
      <c r="C78" s="114"/>
      <c r="D78" s="426"/>
      <c r="E78" s="427"/>
      <c r="F78" s="427"/>
      <c r="G78" s="427"/>
      <c r="H78" s="427"/>
      <c r="I78" s="427"/>
      <c r="J78" s="428" t="s">
        <v>467</v>
      </c>
      <c r="K78" s="424"/>
      <c r="L78" s="429"/>
      <c r="M78" s="404"/>
      <c r="N78" s="161"/>
      <c r="O78" s="35"/>
      <c r="P78" s="36"/>
      <c r="Q78" s="27"/>
    </row>
    <row r="79" outlineLevel="1">
      <c r="A79" s="27"/>
      <c r="B79" s="27"/>
      <c r="C79" s="114"/>
      <c r="D79" s="426"/>
      <c r="E79" s="427"/>
      <c r="F79" s="427"/>
      <c r="G79" s="427"/>
      <c r="H79" s="427"/>
      <c r="I79" s="427"/>
      <c r="J79" s="428" t="s">
        <v>468</v>
      </c>
      <c r="K79" s="424"/>
      <c r="L79" s="429"/>
      <c r="M79" s="404"/>
      <c r="N79" s="161"/>
      <c r="O79" s="35"/>
      <c r="P79" s="36"/>
      <c r="Q79" s="27"/>
    </row>
    <row r="80" outlineLevel="1">
      <c r="A80" s="27"/>
      <c r="B80" s="27"/>
      <c r="C80" s="27"/>
      <c r="D80" s="430"/>
      <c r="E80" s="431"/>
      <c r="F80" s="431"/>
      <c r="G80" s="431"/>
      <c r="H80" s="432"/>
      <c r="I80" s="432"/>
      <c r="J80" s="433" t="s">
        <v>469</v>
      </c>
      <c r="K80" s="424"/>
      <c r="L80" s="434"/>
      <c r="M80" s="404"/>
      <c r="N80" s="150"/>
      <c r="O80" s="35"/>
      <c r="P80" s="36"/>
      <c r="Q80" s="27"/>
    </row>
    <row r="81" outlineLevel="1">
      <c r="A81" s="27"/>
      <c r="B81" s="27"/>
      <c r="C81" s="27"/>
      <c r="D81" s="436" t="s">
        <v>471</v>
      </c>
      <c r="E81" s="10"/>
      <c r="F81" s="10"/>
      <c r="G81" s="10"/>
      <c r="H81" s="10"/>
      <c r="I81" s="10"/>
      <c r="J81" s="437"/>
      <c r="K81" s="438" t="s">
        <v>472</v>
      </c>
      <c r="L81" s="11"/>
      <c r="M81" s="114"/>
      <c r="N81" s="150"/>
      <c r="O81" s="35"/>
      <c r="P81" s="36"/>
      <c r="Q81" s="27"/>
    </row>
    <row r="82" collapsed="1">
      <c r="A82" s="146" t="s">
        <v>473</v>
      </c>
      <c r="B82" s="27"/>
      <c r="C82" s="58"/>
      <c r="D82" s="397" t="str">
        <f>'🤝 Client information'!C81</f>
        <v/>
      </c>
      <c r="E82" s="395"/>
      <c r="F82" s="395"/>
      <c r="G82" s="395"/>
      <c r="H82" s="398"/>
      <c r="I82" s="399"/>
      <c r="J82" s="400" t="s">
        <v>443</v>
      </c>
      <c r="K82" s="401">
        <f>IFERROR(
  (
    IF(K83="Shared with Skipr",1,IF(OR(K83="Got it (not shared yet)",K83="transfer confirmation received"),0.75,IF(OR(K83="Collecting",K83="3. info shared with finance colleague"),0.25,0)))
    +IF(K84="Shared with Skipr",1,IF(OR(K84="Got it (not shared yet)",K84="transfer confirmation received"),0.75,IF(OR(K84="Collecting",K84="3. info shared with finance colleague"),0.25,0)))
    +IF(K86="Shared with Skipr",1,IF(OR(K86="Got it (not shared yet)",K86="transfer confirmation received"),0.75,IF(OR(K86="Collecting",K86="3. info shared with finance colleague"),0.25,0)))
    +IF(K88="Shared with Skipr",1,IF(OR(K88="Got it (not shared yet)",K88="transfer confirmation received"),0.75,IF(OR(K88="Collecting",K88="3. info shared with finance colleague"),0.25,0)))
    +IF(K90="Shared with Skipr",1,IF(OR(K90="Got it (not shared yet)",K90="transfer confirmation received"),0.75,IF(OR(K90="Collecting",K90="3. info shared with finance colleague"),0.25,0)))
    +IF(K92="Shared with Skipr",1,IF(OR(K92="Got it (not shared yet)",K92="transfer confirmation received"),0.75,IF(OR(K92="Collecting",K92="3. info shared with finance colleague"),0.25,0)))
    +IF(K94="Shared with Skipr",1,IF(OR(K94="Got it (not shared yet)",K94="transfer confirmation received"),0.75,IF(OR(K94="Collecting",K94="3. info shared with finance colleague"),0.25,0)))
    +IF(K96="Shared with Skipr",1,IF(OR(K96="Got it (not shared yet)",K96="transfer confirmation received"),0.75,IF(OR(K96="Collecting",K96="3. info shared with finance colleague"),0.25,0)))
    +IF(K98="Shared with Skipr",1,IF(OR(K98="Got it (not shared yet)",K98="transfer confirmation received"),0.75,IF(OR(K98="Collecting",K98="info shared with finance colleague"),0.25,0)))
    +IF(K99="Shared with Skipr",1,IF(OR(K99="Got it (not shared yet)",K99="transfer confirmation received"),0.75,IF(OR(K99="Collecting",K99="3. info shared with finance colleague"),0.25,0)))
    +IF(K104="Shared with Skipr",1,IF(OR(K104="Got it (not shared yet)",K104="transfer confirmation received"),0.75,IF(OR(K104="Collecting",K104="3. info shared with finance colleague"),0.25,0)))
    +IF(K109="5. Skipr informed of Transfer",1,IF(OR(K109="Got it (not shared yet)",K109="transfer confirmation received"),0.75,IF(OR(K109="Collecting",K109="3. info shared with finance colleague"),0.25,0)))
  ) 
  /
  (
    COUNTIF(K83,"&lt;&gt;N/A")+COUNTIF(K84,"&lt;&gt;N/A")+COUNTIF(K86,"&lt;&gt;N/A")+COUNTIF(K88,"&lt;&gt;N/A")+COUNTIF(K90,"&lt;&gt;N/A")+COUNTIF(K92,"&lt;&gt;N/A")+COUNTIF(K94,"&lt;&gt;N/A")+COUNTIF(K96,"&lt;&gt;N/A")+COUNTIF(K98,"&lt;&gt;N/A")+COUNTIF(K99,"&lt;&gt;N/A")+COUNTIF(K104,"&lt;&gt;N/A")+COUNTIF(K109,"&lt;&gt;N/A")
  )
,0)</f>
        <v>0</v>
      </c>
      <c r="L82" s="395"/>
      <c r="M82" s="114"/>
      <c r="N82" s="150"/>
      <c r="O82" s="35"/>
      <c r="P82" s="36"/>
      <c r="Q82" s="27"/>
    </row>
    <row r="83" hidden="1" outlineLevel="1">
      <c r="A83" s="27"/>
      <c r="B83" s="27"/>
      <c r="C83" s="27"/>
      <c r="D83" s="402" t="s">
        <v>444</v>
      </c>
      <c r="E83" s="15"/>
      <c r="F83" s="15"/>
      <c r="G83" s="15"/>
      <c r="H83" s="15"/>
      <c r="I83" s="15"/>
      <c r="J83" s="16"/>
      <c r="K83" s="403" t="s">
        <v>452</v>
      </c>
      <c r="L83" s="16"/>
      <c r="M83" s="114"/>
      <c r="N83" s="161"/>
      <c r="O83" s="35"/>
      <c r="P83" s="36"/>
      <c r="Q83" s="27"/>
    </row>
    <row r="84" hidden="1" outlineLevel="1">
      <c r="A84" s="27"/>
      <c r="B84" s="27"/>
      <c r="C84" s="27"/>
      <c r="D84" s="405" t="s">
        <v>474</v>
      </c>
      <c r="E84" s="15"/>
      <c r="F84" s="15"/>
      <c r="G84" s="15"/>
      <c r="H84" s="15"/>
      <c r="I84" s="15"/>
      <c r="J84" s="16"/>
      <c r="K84" s="403" t="s">
        <v>452</v>
      </c>
      <c r="L84" s="16"/>
      <c r="M84" s="114"/>
      <c r="N84" s="161"/>
      <c r="O84" s="35"/>
      <c r="P84" s="36"/>
      <c r="Q84" s="27"/>
    </row>
    <row r="85" hidden="1" outlineLevel="1">
      <c r="A85" s="27"/>
      <c r="B85" s="27"/>
      <c r="C85" s="27"/>
      <c r="D85" s="407" t="s">
        <v>475</v>
      </c>
      <c r="E85" s="35"/>
      <c r="F85" s="35"/>
      <c r="G85" s="35"/>
      <c r="H85" s="35"/>
      <c r="I85" s="35"/>
      <c r="J85" s="36"/>
      <c r="K85" s="408"/>
      <c r="L85" s="36"/>
      <c r="M85" s="114"/>
      <c r="N85" s="169"/>
      <c r="O85" s="35"/>
      <c r="P85" s="36"/>
      <c r="Q85" s="27"/>
    </row>
    <row r="86" hidden="1" outlineLevel="1">
      <c r="A86" s="27"/>
      <c r="B86" s="27"/>
      <c r="C86" s="27"/>
      <c r="D86" s="402" t="s">
        <v>449</v>
      </c>
      <c r="E86" s="15"/>
      <c r="F86" s="15"/>
      <c r="G86" s="15"/>
      <c r="H86" s="15"/>
      <c r="I86" s="15"/>
      <c r="J86" s="16"/>
      <c r="K86" s="403" t="s">
        <v>452</v>
      </c>
      <c r="L86" s="16"/>
      <c r="M86" s="114"/>
      <c r="N86" s="161"/>
      <c r="O86" s="35"/>
      <c r="P86" s="36"/>
      <c r="Q86" s="27"/>
    </row>
    <row r="87" hidden="1" outlineLevel="1">
      <c r="A87" s="27"/>
      <c r="B87" s="27"/>
      <c r="C87" s="27"/>
      <c r="D87" s="409" t="s">
        <v>476</v>
      </c>
      <c r="E87" s="35"/>
      <c r="F87" s="35"/>
      <c r="G87" s="35"/>
      <c r="H87" s="35"/>
      <c r="I87" s="35"/>
      <c r="J87" s="36"/>
      <c r="K87" s="408"/>
      <c r="L87" s="36"/>
      <c r="M87" s="114"/>
      <c r="N87" s="169"/>
      <c r="O87" s="35"/>
      <c r="P87" s="36"/>
      <c r="Q87" s="27"/>
    </row>
    <row r="88" hidden="1" outlineLevel="1">
      <c r="A88" s="27"/>
      <c r="B88" s="27"/>
      <c r="C88" s="27"/>
      <c r="D88" s="410" t="s">
        <v>451</v>
      </c>
      <c r="E88" s="35"/>
      <c r="F88" s="35"/>
      <c r="G88" s="35"/>
      <c r="H88" s="35"/>
      <c r="I88" s="35"/>
      <c r="J88" s="36"/>
      <c r="K88" s="403" t="s">
        <v>452</v>
      </c>
      <c r="L88" s="16"/>
      <c r="M88" s="114"/>
      <c r="N88" s="161"/>
      <c r="O88" s="35"/>
      <c r="P88" s="36"/>
      <c r="Q88" s="27"/>
    </row>
    <row r="89" hidden="1" outlineLevel="1">
      <c r="A89" s="27"/>
      <c r="B89" s="27"/>
      <c r="C89" s="27"/>
      <c r="D89" s="409" t="s">
        <v>477</v>
      </c>
      <c r="E89" s="35"/>
      <c r="F89" s="35"/>
      <c r="G89" s="35"/>
      <c r="H89" s="35"/>
      <c r="I89" s="35"/>
      <c r="J89" s="36"/>
      <c r="K89" s="408"/>
      <c r="L89" s="36"/>
      <c r="M89" s="114"/>
      <c r="N89" s="169"/>
      <c r="O89" s="35"/>
      <c r="P89" s="36"/>
      <c r="Q89" s="27"/>
    </row>
    <row r="90" hidden="1" outlineLevel="1">
      <c r="A90" s="27"/>
      <c r="B90" s="27"/>
      <c r="C90" s="27"/>
      <c r="D90" s="405" t="s">
        <v>478</v>
      </c>
      <c r="E90" s="15"/>
      <c r="F90" s="15"/>
      <c r="G90" s="15"/>
      <c r="H90" s="15"/>
      <c r="I90" s="15"/>
      <c r="J90" s="16"/>
      <c r="K90" s="403" t="s">
        <v>452</v>
      </c>
      <c r="L90" s="16"/>
      <c r="M90" s="114"/>
      <c r="N90" s="161"/>
      <c r="O90" s="35"/>
      <c r="P90" s="36"/>
      <c r="Q90" s="27"/>
    </row>
    <row r="91" hidden="1" outlineLevel="1">
      <c r="A91" s="27"/>
      <c r="B91" s="27"/>
      <c r="C91" s="27"/>
      <c r="D91" s="411"/>
      <c r="E91" s="412" t="s">
        <v>455</v>
      </c>
      <c r="F91" s="35"/>
      <c r="G91" s="35"/>
      <c r="H91" s="35"/>
      <c r="I91" s="35"/>
      <c r="J91" s="36"/>
      <c r="K91" s="403"/>
      <c r="L91" s="16"/>
      <c r="M91" s="114"/>
      <c r="N91" s="161"/>
      <c r="O91" s="35"/>
      <c r="P91" s="36"/>
      <c r="Q91" s="27"/>
    </row>
    <row r="92" hidden="1" outlineLevel="1">
      <c r="A92" s="27"/>
      <c r="B92" s="27"/>
      <c r="C92" s="27"/>
      <c r="D92" s="413"/>
      <c r="E92" s="414" t="s">
        <v>456</v>
      </c>
      <c r="F92" s="183"/>
      <c r="G92" s="183"/>
      <c r="H92" s="183"/>
      <c r="I92" s="183"/>
      <c r="J92" s="183"/>
      <c r="K92" s="403" t="s">
        <v>452</v>
      </c>
      <c r="L92" s="16"/>
      <c r="M92" s="114"/>
      <c r="N92" s="161"/>
      <c r="O92" s="35"/>
      <c r="P92" s="36"/>
      <c r="Q92" s="27"/>
    </row>
    <row r="93" hidden="1" outlineLevel="1">
      <c r="A93" s="27"/>
      <c r="B93" s="27"/>
      <c r="C93" s="27"/>
      <c r="D93" s="415" t="s">
        <v>457</v>
      </c>
      <c r="E93" s="416" t="s">
        <v>458</v>
      </c>
      <c r="F93" s="195"/>
      <c r="G93" s="195"/>
      <c r="H93" s="195"/>
      <c r="I93" s="195"/>
      <c r="J93" s="195"/>
      <c r="K93" s="195"/>
      <c r="L93" s="417"/>
      <c r="M93" s="114"/>
      <c r="N93" s="161"/>
      <c r="O93" s="35"/>
      <c r="P93" s="36"/>
      <c r="Q93" s="27"/>
    </row>
    <row r="94" hidden="1" outlineLevel="1">
      <c r="A94" s="27"/>
      <c r="B94" s="27"/>
      <c r="C94" s="27"/>
      <c r="D94" s="418"/>
      <c r="E94" s="419" t="s">
        <v>459</v>
      </c>
      <c r="F94" s="195"/>
      <c r="G94" s="195"/>
      <c r="H94" s="195"/>
      <c r="I94" s="195"/>
      <c r="J94" s="417"/>
      <c r="K94" s="403" t="s">
        <v>452</v>
      </c>
      <c r="L94" s="16"/>
      <c r="M94" s="114"/>
      <c r="N94" s="161"/>
      <c r="O94" s="35"/>
      <c r="P94" s="36"/>
      <c r="Q94" s="27"/>
    </row>
    <row r="95" hidden="1" outlineLevel="1">
      <c r="A95" s="27"/>
      <c r="B95" s="27"/>
      <c r="C95" s="27"/>
      <c r="D95" s="411"/>
      <c r="E95" s="412" t="s">
        <v>460</v>
      </c>
      <c r="F95" s="35"/>
      <c r="G95" s="35"/>
      <c r="H95" s="35"/>
      <c r="I95" s="35"/>
      <c r="J95" s="36"/>
      <c r="K95" s="403"/>
      <c r="L95" s="16"/>
      <c r="M95" s="114"/>
      <c r="N95" s="161"/>
      <c r="O95" s="35"/>
      <c r="P95" s="36"/>
      <c r="Q95" s="27"/>
    </row>
    <row r="96" hidden="1" outlineLevel="1">
      <c r="A96" s="27"/>
      <c r="B96" s="27"/>
      <c r="C96" s="27"/>
      <c r="D96" s="413"/>
      <c r="E96" s="414" t="s">
        <v>461</v>
      </c>
      <c r="F96" s="183"/>
      <c r="G96" s="183"/>
      <c r="H96" s="183"/>
      <c r="I96" s="183"/>
      <c r="J96" s="183"/>
      <c r="K96" s="403" t="s">
        <v>452</v>
      </c>
      <c r="L96" s="16"/>
      <c r="M96" s="114"/>
      <c r="N96" s="161"/>
      <c r="O96" s="35"/>
      <c r="P96" s="36"/>
      <c r="Q96" s="27"/>
    </row>
    <row r="97" hidden="1" outlineLevel="1">
      <c r="A97" s="27"/>
      <c r="B97" s="27"/>
      <c r="C97" s="27"/>
      <c r="D97" s="411"/>
      <c r="E97" s="412" t="s">
        <v>462</v>
      </c>
      <c r="F97" s="35"/>
      <c r="G97" s="35"/>
      <c r="H97" s="35"/>
      <c r="I97" s="35"/>
      <c r="J97" s="36"/>
      <c r="K97" s="403"/>
      <c r="L97" s="16"/>
      <c r="M97" s="114"/>
      <c r="N97" s="161"/>
      <c r="O97" s="35"/>
      <c r="P97" s="36"/>
      <c r="Q97" s="27"/>
    </row>
    <row r="98" hidden="1" outlineLevel="1">
      <c r="A98" s="27"/>
      <c r="B98" s="27"/>
      <c r="C98" s="27"/>
      <c r="D98" s="413"/>
      <c r="E98" s="414" t="s">
        <v>463</v>
      </c>
      <c r="F98" s="183"/>
      <c r="G98" s="183"/>
      <c r="H98" s="183"/>
      <c r="I98" s="183"/>
      <c r="J98" s="183"/>
      <c r="K98" s="403" t="s">
        <v>452</v>
      </c>
      <c r="L98" s="16"/>
      <c r="M98" s="114"/>
      <c r="N98" s="161"/>
      <c r="O98" s="35"/>
      <c r="P98" s="36"/>
      <c r="Q98" s="27"/>
    </row>
    <row r="99" hidden="1" outlineLevel="1">
      <c r="A99" s="27"/>
      <c r="B99" s="27"/>
      <c r="C99" s="27"/>
      <c r="D99" s="420" t="s">
        <v>479</v>
      </c>
      <c r="E99" s="35"/>
      <c r="F99" s="35"/>
      <c r="G99" s="35"/>
      <c r="H99" s="35"/>
      <c r="I99" s="35"/>
      <c r="J99" s="36"/>
      <c r="K99" s="403" t="s">
        <v>452</v>
      </c>
      <c r="L99" s="16"/>
      <c r="M99" s="114"/>
      <c r="N99" s="161"/>
      <c r="O99" s="35"/>
      <c r="P99" s="36"/>
      <c r="Q99" s="27"/>
    </row>
    <row r="100" hidden="1" outlineLevel="1">
      <c r="A100" s="27"/>
      <c r="B100" s="27"/>
      <c r="C100" s="27"/>
      <c r="D100" s="421" t="s">
        <v>465</v>
      </c>
      <c r="E100" s="183"/>
      <c r="F100" s="183"/>
      <c r="G100" s="184"/>
      <c r="H100" s="422"/>
      <c r="I100" s="422"/>
      <c r="J100" s="423" t="s">
        <v>466</v>
      </c>
      <c r="K100" s="424"/>
      <c r="L100" s="425"/>
      <c r="M100" s="114"/>
      <c r="N100" s="161"/>
      <c r="O100" s="35"/>
      <c r="P100" s="36"/>
      <c r="Q100" s="27"/>
    </row>
    <row r="101" hidden="1" outlineLevel="1">
      <c r="A101" s="27"/>
      <c r="B101" s="27"/>
      <c r="C101" s="27"/>
      <c r="D101" s="426"/>
      <c r="E101" s="427"/>
      <c r="F101" s="427"/>
      <c r="G101" s="427"/>
      <c r="H101" s="427"/>
      <c r="I101" s="427"/>
      <c r="J101" s="428" t="s">
        <v>467</v>
      </c>
      <c r="K101" s="424"/>
      <c r="L101" s="429"/>
      <c r="M101" s="114"/>
      <c r="N101" s="161"/>
      <c r="O101" s="35"/>
      <c r="P101" s="36"/>
      <c r="Q101" s="27"/>
    </row>
    <row r="102" hidden="1" outlineLevel="1">
      <c r="A102" s="27"/>
      <c r="B102" s="27"/>
      <c r="C102" s="27"/>
      <c r="D102" s="426"/>
      <c r="E102" s="427"/>
      <c r="F102" s="427"/>
      <c r="G102" s="427"/>
      <c r="H102" s="427"/>
      <c r="I102" s="427"/>
      <c r="J102" s="428" t="s">
        <v>468</v>
      </c>
      <c r="K102" s="424"/>
      <c r="L102" s="429"/>
      <c r="M102" s="114"/>
      <c r="N102" s="161"/>
      <c r="O102" s="35"/>
      <c r="P102" s="36"/>
      <c r="Q102" s="27"/>
    </row>
    <row r="103" hidden="1" outlineLevel="1">
      <c r="A103" s="27"/>
      <c r="B103" s="27"/>
      <c r="C103" s="27"/>
      <c r="D103" s="430"/>
      <c r="E103" s="431"/>
      <c r="F103" s="431"/>
      <c r="G103" s="431"/>
      <c r="H103" s="432"/>
      <c r="I103" s="432"/>
      <c r="J103" s="433" t="s">
        <v>469</v>
      </c>
      <c r="K103" s="424"/>
      <c r="L103" s="434"/>
      <c r="M103" s="114"/>
      <c r="N103" s="150"/>
      <c r="O103" s="35"/>
      <c r="P103" s="36"/>
      <c r="Q103" s="27"/>
    </row>
    <row r="104" hidden="1" outlineLevel="1">
      <c r="A104" s="27"/>
      <c r="B104" s="27"/>
      <c r="C104" s="27"/>
      <c r="D104" s="435" t="s">
        <v>480</v>
      </c>
      <c r="E104" s="35"/>
      <c r="F104" s="35"/>
      <c r="G104" s="35"/>
      <c r="H104" s="35"/>
      <c r="I104" s="35"/>
      <c r="J104" s="36"/>
      <c r="K104" s="403" t="s">
        <v>452</v>
      </c>
      <c r="L104" s="16"/>
      <c r="M104" s="114"/>
      <c r="N104" s="150"/>
      <c r="O104" s="35"/>
      <c r="P104" s="36"/>
      <c r="Q104" s="27"/>
    </row>
    <row r="105" hidden="1" outlineLevel="1">
      <c r="A105" s="27"/>
      <c r="B105" s="27"/>
      <c r="C105" s="27"/>
      <c r="D105" s="421" t="s">
        <v>465</v>
      </c>
      <c r="E105" s="183"/>
      <c r="F105" s="183"/>
      <c r="G105" s="184"/>
      <c r="H105" s="422"/>
      <c r="I105" s="422"/>
      <c r="J105" s="423" t="s">
        <v>466</v>
      </c>
      <c r="K105" s="424"/>
      <c r="L105" s="425"/>
      <c r="M105" s="114"/>
      <c r="N105" s="150"/>
      <c r="O105" s="35"/>
      <c r="P105" s="36"/>
      <c r="Q105" s="27"/>
    </row>
    <row r="106" hidden="1" outlineLevel="1">
      <c r="A106" s="27"/>
      <c r="B106" s="27"/>
      <c r="C106" s="27"/>
      <c r="D106" s="426"/>
      <c r="E106" s="427"/>
      <c r="F106" s="427"/>
      <c r="G106" s="427"/>
      <c r="H106" s="427"/>
      <c r="I106" s="427"/>
      <c r="J106" s="428" t="s">
        <v>467</v>
      </c>
      <c r="K106" s="424"/>
      <c r="L106" s="429"/>
      <c r="M106" s="114"/>
      <c r="N106" s="161"/>
      <c r="O106" s="35"/>
      <c r="P106" s="36"/>
      <c r="Q106" s="27"/>
    </row>
    <row r="107" hidden="1" outlineLevel="1">
      <c r="A107" s="27"/>
      <c r="B107" s="27"/>
      <c r="C107" s="27"/>
      <c r="D107" s="426"/>
      <c r="E107" s="427"/>
      <c r="F107" s="427"/>
      <c r="G107" s="427"/>
      <c r="H107" s="427"/>
      <c r="I107" s="427"/>
      <c r="J107" s="428" t="s">
        <v>468</v>
      </c>
      <c r="K107" s="424"/>
      <c r="L107" s="429"/>
      <c r="M107" s="114"/>
      <c r="N107" s="161"/>
      <c r="O107" s="35"/>
      <c r="P107" s="36"/>
      <c r="Q107" s="27"/>
    </row>
    <row r="108" hidden="1" outlineLevel="1">
      <c r="A108" s="27"/>
      <c r="B108" s="27"/>
      <c r="C108" s="27"/>
      <c r="D108" s="430"/>
      <c r="E108" s="431"/>
      <c r="F108" s="431"/>
      <c r="G108" s="431"/>
      <c r="H108" s="432"/>
      <c r="I108" s="432"/>
      <c r="J108" s="433" t="s">
        <v>469</v>
      </c>
      <c r="K108" s="424"/>
      <c r="L108" s="434"/>
      <c r="M108" s="114"/>
      <c r="N108" s="161"/>
      <c r="O108" s="35"/>
      <c r="P108" s="36"/>
      <c r="Q108" s="27"/>
    </row>
    <row r="109" hidden="1" outlineLevel="1">
      <c r="A109" s="27"/>
      <c r="B109" s="27"/>
      <c r="C109" s="27"/>
      <c r="D109" s="436" t="s">
        <v>471</v>
      </c>
      <c r="E109" s="10"/>
      <c r="F109" s="10"/>
      <c r="G109" s="10"/>
      <c r="H109" s="10"/>
      <c r="I109" s="10"/>
      <c r="J109" s="437"/>
      <c r="K109" s="438" t="s">
        <v>472</v>
      </c>
      <c r="L109" s="11"/>
      <c r="M109" s="114"/>
      <c r="N109" s="161"/>
      <c r="O109" s="35"/>
      <c r="P109" s="36"/>
      <c r="Q109" s="27"/>
    </row>
    <row r="110" collapsed="1">
      <c r="A110" s="146" t="s">
        <v>481</v>
      </c>
      <c r="B110" s="27"/>
      <c r="C110" s="58"/>
      <c r="D110" s="397" t="str">
        <f>'🤝 Client information'!C82</f>
        <v/>
      </c>
      <c r="E110" s="395"/>
      <c r="F110" s="395"/>
      <c r="G110" s="395"/>
      <c r="H110" s="398"/>
      <c r="I110" s="399"/>
      <c r="J110" s="400" t="s">
        <v>443</v>
      </c>
      <c r="K110" s="401">
        <f>IFERROR(
  (
    IF(K111="Shared with Skipr",1,IF(OR(K111="Got it (not shared yet)",K111="transfer confirmation received"),0.75,IF(OR(K111="Collecting",K111="3. info shared with finance colleague"),0.25,0)))
    +IF(K112="Shared with Skipr",1,IF(OR(K112="Got it (not shared yet)",K112="transfer confirmation received"),0.75,IF(OR(K112="Collecting",K112="3. info shared with finance colleague"),0.25,0)))
    +IF(K114="Shared with Skipr",1,IF(OR(K114="Got it (not shared yet)",K114="transfer confirmation received"),0.75,IF(OR(K114="Collecting",K114="3. info shared with finance colleague"),0.25,0)))
    +IF(K116="Shared with Skipr",1,IF(OR(K116="Got it (not shared yet)",K116="transfer confirmation received"),0.75,IF(OR(K116="Collecting",K116="3. info shared with finance colleague"),0.25,0)))
    +IF(K118="Shared with Skipr",1,IF(OR(K118="Got it (not shared yet)",K118="transfer confirmation received"),0.75,IF(OR(K118="Collecting",K118="3. info shared with finance colleague"),0.25,0)))
    +IF(K120="Shared with Skipr",1,IF(OR(K120="Got it (not shared yet)",K120="transfer confirmation received"),0.75,IF(OR(K120="Collecting",K120="3. info shared with finance colleague"),0.25,0)))
    +IF(K122="Shared with Skipr",1,IF(OR(K122="Got it (not shared yet)",K122="transfer confirmation received"),0.75,IF(OR(K122="Collecting",K122="3. info shared with finance colleague"),0.25,0)))
    +IF(K124="Shared with Skipr",1,IF(OR(K124="Got it (not shared yet)",K124="transfer confirmation received"),0.75,IF(OR(K124="Collecting",K124="3. info shared with finance colleague"),0.25,0)))
    +IF(K126="Shared with Skipr",1,IF(OR(K126="Got it (not shared yet)",K126="transfer confirmation received"),0.75,IF(OR(K126="Collecting",K126="info shared with finance colleague"),0.25,0)))
    +IF(K127="Shared with Skipr",1,IF(OR(K127="Got it (not shared yet)",K127="transfer confirmation received"),0.75,IF(OR(K127="Collecting",K127="3. info shared with finance colleague"),0.25,0)))
    +IF(K132="Shared with Skipr",1,IF(OR(K132="Got it (not shared yet)",K132="transfer confirmation received"),0.75,IF(OR(K132="Collecting",K132="3. info shared with finance colleague"),0.25,0)))
    +IF(K137="5. Skipr informed of Transfer",1,IF(OR(K137="Got it (not shared yet)",K137="transfer confirmation received"),0.75,IF(OR(K137="Collecting",K137="3. info shared with finance colleague"),0.25,0)))
  ) 
  /
  (
    COUNTIF(K111,"&lt;&gt;N/A")+COUNTIF(K112,"&lt;&gt;N/A")+COUNTIF(K114,"&lt;&gt;N/A")+COUNTIF(K116,"&lt;&gt;N/A")+COUNTIF(K118,"&lt;&gt;N/A")+COUNTIF(K120,"&lt;&gt;N/A")+COUNTIF(K122,"&lt;&gt;N/A")+COUNTIF(K124,"&lt;&gt;N/A")+COUNTIF(K126,"&lt;&gt;N/A")+COUNTIF(K127,"&lt;&gt;N/A")+COUNTIF(K132,"&lt;&gt;N/A")+COUNTIF(K137,"&lt;&gt;N/A")
  )
,0)</f>
        <v>0</v>
      </c>
      <c r="L110" s="395"/>
      <c r="M110" s="114"/>
      <c r="N110" s="169"/>
      <c r="O110" s="35"/>
      <c r="P110" s="36"/>
      <c r="Q110" s="27"/>
    </row>
    <row r="111" hidden="1" outlineLevel="1">
      <c r="A111" s="27"/>
      <c r="B111" s="27"/>
      <c r="C111" s="27"/>
      <c r="D111" s="402" t="s">
        <v>444</v>
      </c>
      <c r="E111" s="15"/>
      <c r="F111" s="15"/>
      <c r="G111" s="15"/>
      <c r="H111" s="15"/>
      <c r="I111" s="15"/>
      <c r="J111" s="16"/>
      <c r="K111" s="403" t="s">
        <v>452</v>
      </c>
      <c r="L111" s="16"/>
      <c r="M111" s="114"/>
      <c r="N111" s="161"/>
      <c r="O111" s="35"/>
      <c r="P111" s="36"/>
      <c r="Q111" s="27"/>
    </row>
    <row r="112" hidden="1" outlineLevel="1">
      <c r="A112" s="27"/>
      <c r="B112" s="27"/>
      <c r="C112" s="27"/>
      <c r="D112" s="405" t="s">
        <v>482</v>
      </c>
      <c r="E112" s="15"/>
      <c r="F112" s="15"/>
      <c r="G112" s="15"/>
      <c r="H112" s="15"/>
      <c r="I112" s="15"/>
      <c r="J112" s="16"/>
      <c r="K112" s="403" t="s">
        <v>452</v>
      </c>
      <c r="L112" s="16"/>
      <c r="M112" s="114"/>
      <c r="N112" s="169"/>
      <c r="O112" s="35"/>
      <c r="P112" s="36"/>
      <c r="Q112" s="27"/>
    </row>
    <row r="113" hidden="1" outlineLevel="1">
      <c r="A113" s="27"/>
      <c r="B113" s="27"/>
      <c r="C113" s="27"/>
      <c r="D113" s="407" t="s">
        <v>483</v>
      </c>
      <c r="E113" s="35"/>
      <c r="F113" s="35"/>
      <c r="G113" s="35"/>
      <c r="H113" s="35"/>
      <c r="I113" s="35"/>
      <c r="J113" s="36"/>
      <c r="K113" s="408"/>
      <c r="L113" s="36"/>
      <c r="M113" s="114"/>
      <c r="N113" s="161"/>
      <c r="O113" s="35"/>
      <c r="P113" s="36"/>
      <c r="Q113" s="27"/>
    </row>
    <row r="114" hidden="1" outlineLevel="1">
      <c r="A114" s="27"/>
      <c r="B114" s="27"/>
      <c r="C114" s="27"/>
      <c r="D114" s="402" t="s">
        <v>449</v>
      </c>
      <c r="E114" s="15"/>
      <c r="F114" s="15"/>
      <c r="G114" s="15"/>
      <c r="H114" s="15"/>
      <c r="I114" s="15"/>
      <c r="J114" s="16"/>
      <c r="K114" s="403" t="s">
        <v>452</v>
      </c>
      <c r="L114" s="16"/>
      <c r="M114" s="114"/>
      <c r="N114" s="169"/>
      <c r="O114" s="35"/>
      <c r="P114" s="36"/>
      <c r="Q114" s="27"/>
    </row>
    <row r="115" hidden="1" outlineLevel="1">
      <c r="A115" s="27"/>
      <c r="B115" s="27"/>
      <c r="C115" s="27"/>
      <c r="D115" s="409" t="s">
        <v>484</v>
      </c>
      <c r="E115" s="35"/>
      <c r="F115" s="35"/>
      <c r="G115" s="35"/>
      <c r="H115" s="35"/>
      <c r="I115" s="35"/>
      <c r="J115" s="36"/>
      <c r="K115" s="408"/>
      <c r="L115" s="36"/>
      <c r="M115" s="114"/>
      <c r="N115" s="161"/>
      <c r="O115" s="35"/>
      <c r="P115" s="36"/>
      <c r="Q115" s="27"/>
    </row>
    <row r="116" hidden="1" outlineLevel="1">
      <c r="A116" s="27"/>
      <c r="B116" s="27"/>
      <c r="C116" s="27"/>
      <c r="D116" s="410" t="s">
        <v>451</v>
      </c>
      <c r="E116" s="35"/>
      <c r="F116" s="35"/>
      <c r="G116" s="35"/>
      <c r="H116" s="35"/>
      <c r="I116" s="35"/>
      <c r="J116" s="36"/>
      <c r="K116" s="403" t="s">
        <v>452</v>
      </c>
      <c r="L116" s="16"/>
      <c r="M116" s="114"/>
      <c r="N116" s="161"/>
      <c r="O116" s="35"/>
      <c r="P116" s="36"/>
      <c r="Q116" s="27"/>
    </row>
    <row r="117" hidden="1" outlineLevel="1">
      <c r="A117" s="27"/>
      <c r="B117" s="27"/>
      <c r="C117" s="27"/>
      <c r="D117" s="409" t="s">
        <v>485</v>
      </c>
      <c r="E117" s="35"/>
      <c r="F117" s="35"/>
      <c r="G117" s="35"/>
      <c r="H117" s="35"/>
      <c r="I117" s="35"/>
      <c r="J117" s="36"/>
      <c r="K117" s="408"/>
      <c r="L117" s="36"/>
      <c r="M117" s="114"/>
      <c r="N117" s="161"/>
      <c r="O117" s="35"/>
      <c r="P117" s="36"/>
      <c r="Q117" s="27"/>
    </row>
    <row r="118" hidden="1" outlineLevel="1">
      <c r="A118" s="27"/>
      <c r="B118" s="27"/>
      <c r="C118" s="27"/>
      <c r="D118" s="405" t="s">
        <v>486</v>
      </c>
      <c r="E118" s="15"/>
      <c r="F118" s="15"/>
      <c r="G118" s="15"/>
      <c r="H118" s="15"/>
      <c r="I118" s="15"/>
      <c r="J118" s="16"/>
      <c r="K118" s="403" t="s">
        <v>452</v>
      </c>
      <c r="L118" s="16"/>
      <c r="M118" s="114"/>
      <c r="N118" s="161"/>
      <c r="O118" s="35"/>
      <c r="P118" s="36"/>
      <c r="Q118" s="27"/>
    </row>
    <row r="119" hidden="1" outlineLevel="1">
      <c r="A119" s="27"/>
      <c r="B119" s="27"/>
      <c r="C119" s="27"/>
      <c r="D119" s="411"/>
      <c r="E119" s="412" t="s">
        <v>455</v>
      </c>
      <c r="F119" s="35"/>
      <c r="G119" s="35"/>
      <c r="H119" s="35"/>
      <c r="I119" s="35"/>
      <c r="J119" s="36"/>
      <c r="K119" s="403"/>
      <c r="L119" s="16"/>
      <c r="M119" s="114"/>
      <c r="N119" s="161"/>
      <c r="O119" s="35"/>
      <c r="P119" s="36"/>
      <c r="Q119" s="27"/>
    </row>
    <row r="120" hidden="1" outlineLevel="1">
      <c r="A120" s="27"/>
      <c r="B120" s="27"/>
      <c r="C120" s="27"/>
      <c r="D120" s="413"/>
      <c r="E120" s="414" t="s">
        <v>456</v>
      </c>
      <c r="F120" s="183"/>
      <c r="G120" s="183"/>
      <c r="H120" s="183"/>
      <c r="I120" s="183"/>
      <c r="J120" s="183"/>
      <c r="K120" s="403" t="s">
        <v>452</v>
      </c>
      <c r="L120" s="16"/>
      <c r="M120" s="114"/>
      <c r="N120" s="161"/>
      <c r="O120" s="35"/>
      <c r="P120" s="36"/>
      <c r="Q120" s="27"/>
    </row>
    <row r="121" hidden="1" outlineLevel="1">
      <c r="A121" s="27"/>
      <c r="B121" s="27"/>
      <c r="C121" s="27"/>
      <c r="D121" s="415" t="s">
        <v>457</v>
      </c>
      <c r="E121" s="416" t="s">
        <v>458</v>
      </c>
      <c r="F121" s="195"/>
      <c r="G121" s="195"/>
      <c r="H121" s="195"/>
      <c r="I121" s="195"/>
      <c r="J121" s="195"/>
      <c r="K121" s="195"/>
      <c r="L121" s="417"/>
      <c r="M121" s="114"/>
      <c r="N121" s="161"/>
      <c r="O121" s="35"/>
      <c r="P121" s="36"/>
      <c r="Q121" s="27"/>
    </row>
    <row r="122" hidden="1" outlineLevel="1">
      <c r="A122" s="27"/>
      <c r="B122" s="27"/>
      <c r="C122" s="27"/>
      <c r="D122" s="418"/>
      <c r="E122" s="419" t="s">
        <v>459</v>
      </c>
      <c r="F122" s="195"/>
      <c r="G122" s="195"/>
      <c r="H122" s="195"/>
      <c r="I122" s="195"/>
      <c r="J122" s="417"/>
      <c r="K122" s="403" t="s">
        <v>452</v>
      </c>
      <c r="L122" s="16"/>
      <c r="M122" s="114"/>
      <c r="N122" s="161"/>
      <c r="O122" s="35"/>
      <c r="P122" s="36"/>
      <c r="Q122" s="27"/>
    </row>
    <row r="123" hidden="1" outlineLevel="1">
      <c r="A123" s="27"/>
      <c r="B123" s="27"/>
      <c r="C123" s="27"/>
      <c r="D123" s="411"/>
      <c r="E123" s="412" t="s">
        <v>460</v>
      </c>
      <c r="F123" s="35"/>
      <c r="G123" s="35"/>
      <c r="H123" s="35"/>
      <c r="I123" s="35"/>
      <c r="J123" s="36"/>
      <c r="K123" s="403"/>
      <c r="L123" s="16"/>
      <c r="M123" s="114"/>
      <c r="N123" s="161"/>
      <c r="O123" s="35"/>
      <c r="P123" s="36"/>
      <c r="Q123" s="27"/>
    </row>
    <row r="124" hidden="1" outlineLevel="1">
      <c r="A124" s="27"/>
      <c r="B124" s="27"/>
      <c r="C124" s="27"/>
      <c r="D124" s="413"/>
      <c r="E124" s="414" t="s">
        <v>461</v>
      </c>
      <c r="F124" s="183"/>
      <c r="G124" s="183"/>
      <c r="H124" s="183"/>
      <c r="I124" s="183"/>
      <c r="J124" s="183"/>
      <c r="K124" s="403" t="s">
        <v>452</v>
      </c>
      <c r="L124" s="16"/>
      <c r="M124" s="114"/>
      <c r="N124" s="161"/>
      <c r="O124" s="35"/>
      <c r="P124" s="36"/>
      <c r="Q124" s="27"/>
    </row>
    <row r="125" hidden="1" outlineLevel="1">
      <c r="A125" s="27"/>
      <c r="B125" s="27"/>
      <c r="C125" s="27"/>
      <c r="D125" s="411"/>
      <c r="E125" s="412" t="s">
        <v>462</v>
      </c>
      <c r="F125" s="35"/>
      <c r="G125" s="35"/>
      <c r="H125" s="35"/>
      <c r="I125" s="35"/>
      <c r="J125" s="36"/>
      <c r="K125" s="403"/>
      <c r="L125" s="16"/>
      <c r="M125" s="114"/>
      <c r="N125" s="161"/>
      <c r="O125" s="35"/>
      <c r="P125" s="36"/>
      <c r="Q125" s="27"/>
    </row>
    <row r="126" hidden="1" outlineLevel="1">
      <c r="A126" s="27"/>
      <c r="B126" s="27"/>
      <c r="C126" s="27"/>
      <c r="D126" s="413"/>
      <c r="E126" s="414" t="s">
        <v>463</v>
      </c>
      <c r="F126" s="183"/>
      <c r="G126" s="183"/>
      <c r="H126" s="183"/>
      <c r="I126" s="183"/>
      <c r="J126" s="183"/>
      <c r="K126" s="403" t="s">
        <v>452</v>
      </c>
      <c r="L126" s="16"/>
      <c r="M126" s="114"/>
      <c r="N126" s="161"/>
      <c r="O126" s="35"/>
      <c r="P126" s="36"/>
      <c r="Q126" s="27"/>
    </row>
    <row r="127" hidden="1" outlineLevel="1">
      <c r="A127" s="27"/>
      <c r="B127" s="27"/>
      <c r="C127" s="27"/>
      <c r="D127" s="420" t="s">
        <v>479</v>
      </c>
      <c r="E127" s="35"/>
      <c r="F127" s="35"/>
      <c r="G127" s="35"/>
      <c r="H127" s="35"/>
      <c r="I127" s="35"/>
      <c r="J127" s="36"/>
      <c r="K127" s="403" t="s">
        <v>452</v>
      </c>
      <c r="L127" s="16"/>
      <c r="M127" s="114"/>
      <c r="N127" s="161"/>
      <c r="O127" s="35"/>
      <c r="P127" s="36"/>
      <c r="Q127" s="27"/>
    </row>
    <row r="128" hidden="1" outlineLevel="1">
      <c r="A128" s="27"/>
      <c r="B128" s="27"/>
      <c r="C128" s="27"/>
      <c r="D128" s="421" t="s">
        <v>465</v>
      </c>
      <c r="E128" s="183"/>
      <c r="F128" s="183"/>
      <c r="G128" s="184"/>
      <c r="H128" s="422"/>
      <c r="I128" s="422"/>
      <c r="J128" s="423" t="s">
        <v>466</v>
      </c>
      <c r="K128" s="424"/>
      <c r="L128" s="425"/>
      <c r="M128" s="114"/>
      <c r="N128" s="161"/>
      <c r="O128" s="35"/>
      <c r="P128" s="36"/>
      <c r="Q128" s="27"/>
    </row>
    <row r="129" hidden="1" outlineLevel="1">
      <c r="A129" s="27"/>
      <c r="B129" s="27"/>
      <c r="C129" s="27"/>
      <c r="D129" s="426"/>
      <c r="E129" s="427"/>
      <c r="F129" s="427"/>
      <c r="G129" s="427"/>
      <c r="H129" s="427"/>
      <c r="I129" s="427"/>
      <c r="J129" s="428" t="s">
        <v>467</v>
      </c>
      <c r="K129" s="424"/>
      <c r="L129" s="429"/>
      <c r="M129" s="114"/>
      <c r="N129" s="161"/>
      <c r="O129" s="35"/>
      <c r="P129" s="36"/>
      <c r="Q129" s="27"/>
    </row>
    <row r="130" hidden="1" outlineLevel="1">
      <c r="A130" s="27"/>
      <c r="B130" s="27"/>
      <c r="C130" s="27"/>
      <c r="D130" s="426"/>
      <c r="E130" s="427"/>
      <c r="F130" s="427"/>
      <c r="G130" s="427"/>
      <c r="H130" s="427"/>
      <c r="I130" s="427"/>
      <c r="J130" s="428" t="s">
        <v>468</v>
      </c>
      <c r="K130" s="424"/>
      <c r="L130" s="429"/>
      <c r="M130" s="114"/>
      <c r="N130" s="161"/>
      <c r="O130" s="35"/>
      <c r="P130" s="36"/>
      <c r="Q130" s="27"/>
    </row>
    <row r="131" hidden="1" outlineLevel="1">
      <c r="A131" s="27"/>
      <c r="B131" s="27"/>
      <c r="C131" s="27"/>
      <c r="D131" s="430"/>
      <c r="E131" s="431"/>
      <c r="F131" s="431"/>
      <c r="G131" s="431"/>
      <c r="H131" s="432"/>
      <c r="I131" s="432"/>
      <c r="J131" s="433" t="s">
        <v>469</v>
      </c>
      <c r="K131" s="424"/>
      <c r="L131" s="434"/>
      <c r="M131" s="114"/>
      <c r="N131" s="150"/>
      <c r="O131" s="35"/>
      <c r="P131" s="36"/>
      <c r="Q131" s="27"/>
    </row>
    <row r="132" hidden="1" outlineLevel="1">
      <c r="A132" s="27"/>
      <c r="B132" s="27"/>
      <c r="C132" s="27"/>
      <c r="D132" s="435" t="s">
        <v>480</v>
      </c>
      <c r="E132" s="35"/>
      <c r="F132" s="35"/>
      <c r="G132" s="35"/>
      <c r="H132" s="35"/>
      <c r="I132" s="35"/>
      <c r="J132" s="36"/>
      <c r="K132" s="403" t="s">
        <v>452</v>
      </c>
      <c r="L132" s="16"/>
      <c r="M132" s="114"/>
      <c r="N132" s="150"/>
      <c r="O132" s="35"/>
      <c r="P132" s="36"/>
      <c r="Q132" s="27"/>
    </row>
    <row r="133" hidden="1" outlineLevel="1">
      <c r="A133" s="27"/>
      <c r="B133" s="27"/>
      <c r="C133" s="27"/>
      <c r="D133" s="421" t="s">
        <v>465</v>
      </c>
      <c r="E133" s="183"/>
      <c r="F133" s="183"/>
      <c r="G133" s="184"/>
      <c r="H133" s="422"/>
      <c r="I133" s="422"/>
      <c r="J133" s="423" t="s">
        <v>466</v>
      </c>
      <c r="K133" s="424"/>
      <c r="L133" s="425"/>
      <c r="M133" s="114"/>
      <c r="N133" s="150"/>
      <c r="O133" s="35"/>
      <c r="P133" s="36"/>
      <c r="Q133" s="27"/>
    </row>
    <row r="134" hidden="1" outlineLevel="1">
      <c r="A134" s="27"/>
      <c r="B134" s="27"/>
      <c r="C134" s="27"/>
      <c r="D134" s="426"/>
      <c r="E134" s="427"/>
      <c r="F134" s="427"/>
      <c r="G134" s="427"/>
      <c r="H134" s="427"/>
      <c r="I134" s="427"/>
      <c r="J134" s="428" t="s">
        <v>467</v>
      </c>
      <c r="K134" s="424"/>
      <c r="L134" s="429"/>
      <c r="M134" s="114"/>
      <c r="N134" s="150"/>
      <c r="O134" s="35"/>
      <c r="P134" s="36"/>
      <c r="Q134" s="27"/>
    </row>
    <row r="135" hidden="1" outlineLevel="1">
      <c r="A135" s="27"/>
      <c r="B135" s="27"/>
      <c r="C135" s="27"/>
      <c r="D135" s="426"/>
      <c r="E135" s="427"/>
      <c r="F135" s="427"/>
      <c r="G135" s="427"/>
      <c r="H135" s="427"/>
      <c r="I135" s="427"/>
      <c r="J135" s="428" t="s">
        <v>468</v>
      </c>
      <c r="K135" s="424"/>
      <c r="L135" s="429"/>
      <c r="M135" s="114"/>
      <c r="N135" s="161"/>
      <c r="O135" s="35"/>
      <c r="P135" s="36"/>
      <c r="Q135" s="27"/>
    </row>
    <row r="136" hidden="1" outlineLevel="1">
      <c r="A136" s="27"/>
      <c r="B136" s="27"/>
      <c r="C136" s="27"/>
      <c r="D136" s="430"/>
      <c r="E136" s="431"/>
      <c r="F136" s="431"/>
      <c r="G136" s="431"/>
      <c r="H136" s="432"/>
      <c r="I136" s="432"/>
      <c r="J136" s="433" t="s">
        <v>469</v>
      </c>
      <c r="K136" s="424"/>
      <c r="L136" s="434"/>
      <c r="M136" s="114"/>
      <c r="N136" s="161"/>
      <c r="O136" s="35"/>
      <c r="P136" s="36"/>
      <c r="Q136" s="27"/>
    </row>
    <row r="137" hidden="1" outlineLevel="1">
      <c r="A137" s="27"/>
      <c r="B137" s="27"/>
      <c r="C137" s="27"/>
      <c r="D137" s="436" t="s">
        <v>471</v>
      </c>
      <c r="E137" s="10"/>
      <c r="F137" s="10"/>
      <c r="G137" s="10"/>
      <c r="H137" s="10"/>
      <c r="I137" s="10"/>
      <c r="J137" s="437"/>
      <c r="K137" s="438" t="s">
        <v>472</v>
      </c>
      <c r="L137" s="11"/>
      <c r="M137" s="114"/>
      <c r="N137" s="161"/>
      <c r="O137" s="35"/>
      <c r="P137" s="36"/>
      <c r="Q137" s="27"/>
    </row>
    <row r="138" collapsed="1">
      <c r="A138" s="146" t="s">
        <v>487</v>
      </c>
      <c r="B138" s="27"/>
      <c r="C138" s="58"/>
      <c r="D138" s="397" t="str">
        <f>'🤝 Client information'!C83</f>
        <v/>
      </c>
      <c r="E138" s="395"/>
      <c r="F138" s="395"/>
      <c r="G138" s="395"/>
      <c r="H138" s="398"/>
      <c r="I138" s="399"/>
      <c r="J138" s="400" t="s">
        <v>443</v>
      </c>
      <c r="K138" s="401">
        <f>IFERROR(
  (
    IF(K139="Shared with Skipr",1,IF(OR(K139="Got it (not shared yet)",K139="transfer confirmation received"),0.75,IF(OR(K139="Collecting",K139="3. info shared with finance colleague"),0.25,0)))
    +IF(K140="Shared with Skipr",1,IF(OR(K140="Got it (not shared yet)",K140="transfer confirmation received"),0.75,IF(OR(K140="Collecting",K140="3. info shared with finance colleague"),0.25,0)))
    +IF(K142="Shared with Skipr",1,IF(OR(K142="Got it (not shared yet)",K142="transfer confirmation received"),0.75,IF(OR(K142="Collecting",K142="3. info shared with finance colleague"),0.25,0)))
    +IF(K144="Shared with Skipr",1,IF(OR(K144="Got it (not shared yet)",K144="transfer confirmation received"),0.75,IF(OR(K144="Collecting",K144="3. info shared with finance colleague"),0.25,0)))
    +IF(K146="Shared with Skipr",1,IF(OR(K146="Got it (not shared yet)",K146="transfer confirmation received"),0.75,IF(OR(K146="Collecting",K146="3. info shared with finance colleague"),0.25,0)))
    +IF(K148="Shared with Skipr",1,IF(OR(K148="Got it (not shared yet)",K148="transfer confirmation received"),0.75,IF(OR(K148="Collecting",K148="3. info shared with finance colleague"),0.25,0)))
    +IF(K150="Shared with Skipr",1,IF(OR(K150="Got it (not shared yet)",K150="transfer confirmation received"),0.75,IF(OR(K150="Collecting",K150="3. info shared with finance colleague"),0.25,0)))
    +IF(K152="Shared with Skipr",1,IF(OR(K152="Got it (not shared yet)",K152="transfer confirmation received"),0.75,IF(OR(K152="Collecting",K152="3. info shared with finance colleague"),0.25,0)))
    +IF(K154="Shared with Skipr",1,IF(OR(K154="Got it (not shared yet)",K154="transfer confirmation received"),0.75,IF(OR(K154="Collecting",K154="info shared with finance colleague"),0.25,0)))
    +IF(K155="Shared with Skipr",1,IF(OR(K155="Got it (not shared yet)",K155="transfer confirmation received"),0.75,IF(OR(K155="Collecting",K155="3. info shared with finance colleague"),0.25,0)))
    +IF(K160="Shared with Skipr",1,IF(OR(K160="Got it (not shared yet)",K160="transfer confirmation received"),0.75,IF(OR(K160="Collecting",K160="3. info shared with finance colleague"),0.25,0)))
    +IF(K165="5. Skipr informed of Transfer",1,IF(OR(K165="Got it (not shared yet)",K165="transfer confirmation received"),0.75,IF(OR(K165="Collecting",K165="3. info shared with finance colleague"),0.25,0)))
  ) 
  /
  (
    COUNTIF(K139,"&lt;&gt;N/A")+COUNTIF(K140,"&lt;&gt;N/A")+COUNTIF(K142,"&lt;&gt;N/A")+COUNTIF(K144,"&lt;&gt;N/A")+COUNTIF(K146,"&lt;&gt;N/A")+COUNTIF(K148,"&lt;&gt;N/A")+COUNTIF(K150,"&lt;&gt;N/A")+COUNTIF(K152,"&lt;&gt;N/A")+COUNTIF(K154,"&lt;&gt;N/A")+COUNTIF(K155,"&lt;&gt;N/A")+COUNTIF(K160,"&lt;&gt;N/A")+COUNTIF(K165,"&lt;&gt;N/A")
  )
,0)</f>
        <v>0</v>
      </c>
      <c r="L138" s="395"/>
      <c r="M138" s="114"/>
      <c r="N138" s="169"/>
      <c r="O138" s="35"/>
      <c r="P138" s="36"/>
      <c r="Q138" s="27"/>
    </row>
    <row r="139" hidden="1" outlineLevel="1">
      <c r="A139" s="27"/>
      <c r="B139" s="27"/>
      <c r="C139" s="27"/>
      <c r="D139" s="402" t="s">
        <v>444</v>
      </c>
      <c r="E139" s="15"/>
      <c r="F139" s="15"/>
      <c r="G139" s="15"/>
      <c r="H139" s="15"/>
      <c r="I139" s="15"/>
      <c r="J139" s="16"/>
      <c r="K139" s="403" t="s">
        <v>452</v>
      </c>
      <c r="L139" s="16"/>
      <c r="M139" s="114"/>
      <c r="N139" s="161"/>
      <c r="O139" s="35"/>
      <c r="P139" s="36"/>
      <c r="Q139" s="27"/>
    </row>
    <row r="140" hidden="1" outlineLevel="1">
      <c r="A140" s="27"/>
      <c r="B140" s="27"/>
      <c r="C140" s="27"/>
      <c r="D140" s="405" t="s">
        <v>488</v>
      </c>
      <c r="E140" s="15"/>
      <c r="F140" s="15"/>
      <c r="G140" s="15"/>
      <c r="H140" s="15"/>
      <c r="I140" s="15"/>
      <c r="J140" s="16"/>
      <c r="K140" s="403" t="s">
        <v>452</v>
      </c>
      <c r="L140" s="16"/>
      <c r="M140" s="114"/>
      <c r="N140" s="169"/>
      <c r="O140" s="35"/>
      <c r="P140" s="36"/>
      <c r="Q140" s="27"/>
    </row>
    <row r="141" hidden="1" outlineLevel="1">
      <c r="A141" s="27"/>
      <c r="B141" s="27"/>
      <c r="C141" s="27"/>
      <c r="D141" s="407" t="s">
        <v>489</v>
      </c>
      <c r="E141" s="35"/>
      <c r="F141" s="35"/>
      <c r="G141" s="35"/>
      <c r="H141" s="35"/>
      <c r="I141" s="35"/>
      <c r="J141" s="36"/>
      <c r="K141" s="408"/>
      <c r="L141" s="36"/>
      <c r="M141" s="114"/>
      <c r="N141" s="161"/>
      <c r="O141" s="35"/>
      <c r="P141" s="36"/>
      <c r="Q141" s="27"/>
    </row>
    <row r="142" hidden="1" outlineLevel="1">
      <c r="A142" s="27"/>
      <c r="B142" s="27"/>
      <c r="C142" s="27"/>
      <c r="D142" s="402" t="s">
        <v>449</v>
      </c>
      <c r="E142" s="15"/>
      <c r="F142" s="15"/>
      <c r="G142" s="15"/>
      <c r="H142" s="15"/>
      <c r="I142" s="15"/>
      <c r="J142" s="16"/>
      <c r="K142" s="403" t="s">
        <v>452</v>
      </c>
      <c r="L142" s="16"/>
      <c r="M142" s="114"/>
      <c r="N142" s="161"/>
      <c r="O142" s="35"/>
      <c r="P142" s="36"/>
      <c r="Q142" s="27"/>
    </row>
    <row r="143" hidden="1" outlineLevel="1">
      <c r="A143" s="27"/>
      <c r="B143" s="27"/>
      <c r="C143" s="27"/>
      <c r="D143" s="409" t="s">
        <v>490</v>
      </c>
      <c r="E143" s="35"/>
      <c r="F143" s="35"/>
      <c r="G143" s="35"/>
      <c r="H143" s="35"/>
      <c r="I143" s="35"/>
      <c r="J143" s="36"/>
      <c r="K143" s="408"/>
      <c r="L143" s="36"/>
      <c r="M143" s="114"/>
      <c r="N143" s="161"/>
      <c r="O143" s="35"/>
      <c r="P143" s="36"/>
      <c r="Q143" s="27"/>
    </row>
    <row r="144" hidden="1" outlineLevel="1">
      <c r="A144" s="27"/>
      <c r="B144" s="27"/>
      <c r="C144" s="27"/>
      <c r="D144" s="410" t="s">
        <v>451</v>
      </c>
      <c r="E144" s="35"/>
      <c r="F144" s="35"/>
      <c r="G144" s="35"/>
      <c r="H144" s="35"/>
      <c r="I144" s="35"/>
      <c r="J144" s="36"/>
      <c r="K144" s="403" t="s">
        <v>452</v>
      </c>
      <c r="L144" s="16"/>
      <c r="M144" s="114"/>
      <c r="N144" s="161"/>
      <c r="O144" s="35"/>
      <c r="P144" s="36"/>
      <c r="Q144" s="27"/>
    </row>
    <row r="145" hidden="1" outlineLevel="1">
      <c r="A145" s="27"/>
      <c r="B145" s="27"/>
      <c r="C145" s="27"/>
      <c r="D145" s="409" t="s">
        <v>491</v>
      </c>
      <c r="E145" s="35"/>
      <c r="F145" s="35"/>
      <c r="G145" s="35"/>
      <c r="H145" s="35"/>
      <c r="I145" s="35"/>
      <c r="J145" s="36"/>
      <c r="K145" s="408"/>
      <c r="L145" s="36"/>
      <c r="M145" s="114"/>
      <c r="N145" s="161"/>
      <c r="O145" s="35"/>
      <c r="P145" s="36"/>
      <c r="Q145" s="27"/>
    </row>
    <row r="146" hidden="1" outlineLevel="1">
      <c r="A146" s="27"/>
      <c r="B146" s="27"/>
      <c r="C146" s="27"/>
      <c r="D146" s="405" t="s">
        <v>492</v>
      </c>
      <c r="E146" s="15"/>
      <c r="F146" s="15"/>
      <c r="G146" s="15"/>
      <c r="H146" s="15"/>
      <c r="I146" s="15"/>
      <c r="J146" s="16"/>
      <c r="K146" s="403" t="s">
        <v>452</v>
      </c>
      <c r="L146" s="16"/>
      <c r="M146" s="114"/>
      <c r="N146" s="161"/>
      <c r="O146" s="35"/>
      <c r="P146" s="36"/>
      <c r="Q146" s="27"/>
    </row>
    <row r="147" hidden="1" outlineLevel="1">
      <c r="A147" s="27"/>
      <c r="B147" s="27"/>
      <c r="C147" s="27"/>
      <c r="D147" s="411"/>
      <c r="E147" s="412" t="s">
        <v>455</v>
      </c>
      <c r="F147" s="35"/>
      <c r="G147" s="35"/>
      <c r="H147" s="35"/>
      <c r="I147" s="35"/>
      <c r="J147" s="36"/>
      <c r="K147" s="403"/>
      <c r="L147" s="16"/>
      <c r="M147" s="114"/>
      <c r="N147" s="161"/>
      <c r="O147" s="35"/>
      <c r="P147" s="36"/>
      <c r="Q147" s="27"/>
    </row>
    <row r="148" hidden="1" outlineLevel="1">
      <c r="A148" s="27"/>
      <c r="B148" s="27"/>
      <c r="C148" s="27"/>
      <c r="D148" s="413"/>
      <c r="E148" s="414" t="s">
        <v>456</v>
      </c>
      <c r="F148" s="183"/>
      <c r="G148" s="183"/>
      <c r="H148" s="183"/>
      <c r="I148" s="183"/>
      <c r="J148" s="183"/>
      <c r="K148" s="403" t="s">
        <v>452</v>
      </c>
      <c r="L148" s="16"/>
      <c r="M148" s="114"/>
      <c r="N148" s="161"/>
      <c r="O148" s="35"/>
      <c r="P148" s="36"/>
      <c r="Q148" s="27"/>
    </row>
    <row r="149" hidden="1" outlineLevel="1">
      <c r="A149" s="27"/>
      <c r="B149" s="27"/>
      <c r="C149" s="27"/>
      <c r="D149" s="415" t="s">
        <v>457</v>
      </c>
      <c r="E149" s="416" t="s">
        <v>458</v>
      </c>
      <c r="F149" s="195"/>
      <c r="G149" s="195"/>
      <c r="H149" s="195"/>
      <c r="I149" s="195"/>
      <c r="J149" s="195"/>
      <c r="K149" s="195"/>
      <c r="L149" s="417"/>
      <c r="M149" s="114"/>
      <c r="N149" s="161"/>
      <c r="O149" s="35"/>
      <c r="P149" s="36"/>
      <c r="Q149" s="27"/>
    </row>
    <row r="150" hidden="1" outlineLevel="1">
      <c r="A150" s="27"/>
      <c r="B150" s="27"/>
      <c r="C150" s="27"/>
      <c r="D150" s="418"/>
      <c r="E150" s="419" t="s">
        <v>493</v>
      </c>
      <c r="F150" s="195"/>
      <c r="G150" s="195"/>
      <c r="H150" s="195"/>
      <c r="I150" s="195"/>
      <c r="J150" s="417"/>
      <c r="K150" s="403" t="s">
        <v>452</v>
      </c>
      <c r="L150" s="16"/>
      <c r="M150" s="114"/>
      <c r="N150" s="161"/>
      <c r="O150" s="35"/>
      <c r="P150" s="36"/>
      <c r="Q150" s="27"/>
    </row>
    <row r="151" hidden="1" outlineLevel="1">
      <c r="A151" s="27"/>
      <c r="B151" s="27"/>
      <c r="C151" s="27"/>
      <c r="D151" s="411"/>
      <c r="E151" s="412" t="s">
        <v>460</v>
      </c>
      <c r="F151" s="35"/>
      <c r="G151" s="35"/>
      <c r="H151" s="35"/>
      <c r="I151" s="35"/>
      <c r="J151" s="36"/>
      <c r="K151" s="403"/>
      <c r="L151" s="16"/>
      <c r="M151" s="114"/>
      <c r="N151" s="161"/>
      <c r="O151" s="35"/>
      <c r="P151" s="36"/>
      <c r="Q151" s="27"/>
    </row>
    <row r="152" hidden="1" outlineLevel="1">
      <c r="A152" s="27"/>
      <c r="B152" s="27"/>
      <c r="C152" s="27"/>
      <c r="D152" s="413"/>
      <c r="E152" s="414" t="s">
        <v>461</v>
      </c>
      <c r="F152" s="183"/>
      <c r="G152" s="183"/>
      <c r="H152" s="183"/>
      <c r="I152" s="183"/>
      <c r="J152" s="183"/>
      <c r="K152" s="403" t="s">
        <v>452</v>
      </c>
      <c r="L152" s="16"/>
      <c r="M152" s="114"/>
      <c r="N152" s="161"/>
      <c r="O152" s="35"/>
      <c r="P152" s="36"/>
      <c r="Q152" s="27"/>
    </row>
    <row r="153" hidden="1" outlineLevel="1">
      <c r="A153" s="27"/>
      <c r="B153" s="27"/>
      <c r="C153" s="27"/>
      <c r="D153" s="411"/>
      <c r="E153" s="412" t="s">
        <v>462</v>
      </c>
      <c r="F153" s="35"/>
      <c r="G153" s="35"/>
      <c r="H153" s="35"/>
      <c r="I153" s="35"/>
      <c r="J153" s="36"/>
      <c r="K153" s="403"/>
      <c r="L153" s="16"/>
      <c r="M153" s="114"/>
      <c r="N153" s="161"/>
      <c r="O153" s="35"/>
      <c r="P153" s="36"/>
      <c r="Q153" s="27"/>
    </row>
    <row r="154" hidden="1" outlineLevel="1">
      <c r="A154" s="27"/>
      <c r="B154" s="27"/>
      <c r="C154" s="27"/>
      <c r="D154" s="413"/>
      <c r="E154" s="414" t="s">
        <v>463</v>
      </c>
      <c r="F154" s="183"/>
      <c r="G154" s="183"/>
      <c r="H154" s="183"/>
      <c r="I154" s="183"/>
      <c r="J154" s="183"/>
      <c r="K154" s="403" t="s">
        <v>452</v>
      </c>
      <c r="L154" s="16"/>
      <c r="M154" s="114"/>
      <c r="N154" s="161"/>
      <c r="O154" s="35"/>
      <c r="P154" s="36"/>
      <c r="Q154" s="27"/>
    </row>
    <row r="155" hidden="1" outlineLevel="1">
      <c r="A155" s="27"/>
      <c r="B155" s="27"/>
      <c r="C155" s="27"/>
      <c r="D155" s="420" t="s">
        <v>479</v>
      </c>
      <c r="E155" s="35"/>
      <c r="F155" s="35"/>
      <c r="G155" s="35"/>
      <c r="H155" s="35"/>
      <c r="I155" s="35"/>
      <c r="J155" s="36"/>
      <c r="K155" s="403" t="s">
        <v>452</v>
      </c>
      <c r="L155" s="16"/>
      <c r="M155" s="114"/>
      <c r="N155" s="161"/>
      <c r="O155" s="35"/>
      <c r="P155" s="36"/>
      <c r="Q155" s="27"/>
    </row>
    <row r="156" hidden="1" outlineLevel="1">
      <c r="A156" s="27"/>
      <c r="B156" s="27"/>
      <c r="C156" s="27"/>
      <c r="D156" s="421" t="s">
        <v>465</v>
      </c>
      <c r="E156" s="183"/>
      <c r="F156" s="183"/>
      <c r="G156" s="184"/>
      <c r="H156" s="422"/>
      <c r="I156" s="422"/>
      <c r="J156" s="423" t="s">
        <v>466</v>
      </c>
      <c r="K156" s="424"/>
      <c r="L156" s="425"/>
      <c r="M156" s="114"/>
      <c r="N156" s="150"/>
      <c r="O156" s="35"/>
      <c r="P156" s="36"/>
      <c r="Q156" s="27"/>
    </row>
    <row r="157" hidden="1" outlineLevel="1">
      <c r="A157" s="27"/>
      <c r="B157" s="27"/>
      <c r="C157" s="27"/>
      <c r="D157" s="426"/>
      <c r="E157" s="427"/>
      <c r="F157" s="427"/>
      <c r="G157" s="427"/>
      <c r="H157" s="427"/>
      <c r="I157" s="427"/>
      <c r="J157" s="428" t="s">
        <v>467</v>
      </c>
      <c r="K157" s="424"/>
      <c r="L157" s="429"/>
      <c r="M157" s="114"/>
      <c r="N157" s="150"/>
      <c r="O157" s="35"/>
      <c r="P157" s="36"/>
      <c r="Q157" s="27"/>
    </row>
    <row r="158" hidden="1" outlineLevel="1">
      <c r="A158" s="27"/>
      <c r="B158" s="27"/>
      <c r="C158" s="27"/>
      <c r="D158" s="426"/>
      <c r="E158" s="427"/>
      <c r="F158" s="427"/>
      <c r="G158" s="427"/>
      <c r="H158" s="427"/>
      <c r="I158" s="427"/>
      <c r="J158" s="428" t="s">
        <v>468</v>
      </c>
      <c r="K158" s="424"/>
      <c r="L158" s="429"/>
      <c r="M158" s="114"/>
      <c r="N158" s="150"/>
      <c r="O158" s="35"/>
      <c r="P158" s="36"/>
      <c r="Q158" s="27"/>
    </row>
    <row r="159" hidden="1" outlineLevel="1">
      <c r="A159" s="27"/>
      <c r="B159" s="27"/>
      <c r="C159" s="27"/>
      <c r="D159" s="430"/>
      <c r="E159" s="431"/>
      <c r="F159" s="431"/>
      <c r="G159" s="431"/>
      <c r="H159" s="432"/>
      <c r="I159" s="432"/>
      <c r="J159" s="433" t="s">
        <v>469</v>
      </c>
      <c r="K159" s="424"/>
      <c r="L159" s="434"/>
      <c r="M159" s="114"/>
      <c r="N159" s="161"/>
      <c r="O159" s="35"/>
      <c r="P159" s="36"/>
      <c r="Q159" s="27"/>
    </row>
    <row r="160" hidden="1" outlineLevel="1">
      <c r="A160" s="27"/>
      <c r="B160" s="27"/>
      <c r="C160" s="27"/>
      <c r="D160" s="435" t="s">
        <v>480</v>
      </c>
      <c r="E160" s="35"/>
      <c r="F160" s="35"/>
      <c r="G160" s="35"/>
      <c r="H160" s="35"/>
      <c r="I160" s="35"/>
      <c r="J160" s="36"/>
      <c r="K160" s="403" t="s">
        <v>452</v>
      </c>
      <c r="L160" s="16"/>
      <c r="M160" s="114"/>
      <c r="N160" s="161"/>
      <c r="O160" s="35"/>
      <c r="P160" s="36"/>
      <c r="Q160" s="27"/>
    </row>
    <row r="161" hidden="1" outlineLevel="1">
      <c r="A161" s="27"/>
      <c r="B161" s="27"/>
      <c r="C161" s="27"/>
      <c r="D161" s="421" t="s">
        <v>465</v>
      </c>
      <c r="E161" s="183"/>
      <c r="F161" s="183"/>
      <c r="G161" s="184"/>
      <c r="H161" s="422"/>
      <c r="I161" s="422"/>
      <c r="J161" s="423" t="s">
        <v>466</v>
      </c>
      <c r="K161" s="424"/>
      <c r="L161" s="425"/>
      <c r="M161" s="114"/>
      <c r="N161" s="169"/>
      <c r="O161" s="35"/>
      <c r="P161" s="36"/>
      <c r="Q161" s="27"/>
    </row>
    <row r="162" hidden="1" outlineLevel="1">
      <c r="A162" s="27"/>
      <c r="B162" s="27"/>
      <c r="C162" s="27"/>
      <c r="D162" s="426"/>
      <c r="E162" s="427"/>
      <c r="F162" s="427"/>
      <c r="G162" s="427"/>
      <c r="H162" s="427"/>
      <c r="I162" s="427"/>
      <c r="J162" s="428" t="s">
        <v>467</v>
      </c>
      <c r="K162" s="424"/>
      <c r="L162" s="429"/>
      <c r="M162" s="114"/>
      <c r="N162" s="161"/>
      <c r="O162" s="35"/>
      <c r="P162" s="36"/>
      <c r="Q162" s="27"/>
    </row>
    <row r="163" hidden="1" outlineLevel="1">
      <c r="A163" s="27"/>
      <c r="B163" s="27"/>
      <c r="C163" s="27"/>
      <c r="D163" s="426"/>
      <c r="E163" s="427"/>
      <c r="F163" s="427"/>
      <c r="G163" s="427"/>
      <c r="H163" s="427"/>
      <c r="I163" s="427"/>
      <c r="J163" s="428" t="s">
        <v>468</v>
      </c>
      <c r="K163" s="424"/>
      <c r="L163" s="429"/>
      <c r="M163" s="114"/>
      <c r="N163" s="169"/>
      <c r="O163" s="35"/>
      <c r="P163" s="36"/>
      <c r="Q163" s="27"/>
    </row>
    <row r="164" hidden="1" outlineLevel="1">
      <c r="A164" s="27"/>
      <c r="B164" s="27"/>
      <c r="C164" s="27"/>
      <c r="D164" s="430"/>
      <c r="E164" s="431"/>
      <c r="F164" s="431"/>
      <c r="G164" s="431"/>
      <c r="H164" s="432"/>
      <c r="I164" s="432"/>
      <c r="J164" s="433" t="s">
        <v>469</v>
      </c>
      <c r="K164" s="424"/>
      <c r="L164" s="434"/>
      <c r="M164" s="114"/>
      <c r="N164" s="161"/>
      <c r="O164" s="35"/>
      <c r="P164" s="36"/>
      <c r="Q164" s="27"/>
    </row>
    <row r="165" hidden="1" outlineLevel="1">
      <c r="A165" s="27"/>
      <c r="B165" s="27"/>
      <c r="C165" s="27"/>
      <c r="D165" s="436" t="s">
        <v>471</v>
      </c>
      <c r="E165" s="10"/>
      <c r="F165" s="10"/>
      <c r="G165" s="10"/>
      <c r="H165" s="10"/>
      <c r="I165" s="10"/>
      <c r="J165" s="437"/>
      <c r="K165" s="438" t="s">
        <v>472</v>
      </c>
      <c r="L165" s="11"/>
      <c r="M165" s="114"/>
      <c r="N165" s="169"/>
      <c r="O165" s="35"/>
      <c r="P165" s="36"/>
      <c r="Q165" s="27"/>
    </row>
    <row r="166" collapsed="1">
      <c r="A166" s="146" t="s">
        <v>494</v>
      </c>
      <c r="B166" s="27"/>
      <c r="C166" s="58"/>
      <c r="D166" s="397" t="str">
        <f>'🤝 Client information'!C84</f>
        <v/>
      </c>
      <c r="E166" s="395"/>
      <c r="F166" s="395"/>
      <c r="G166" s="395"/>
      <c r="H166" s="398"/>
      <c r="I166" s="399"/>
      <c r="J166" s="400" t="s">
        <v>443</v>
      </c>
      <c r="K166" s="401">
        <f>IFERROR(
  (
    IF(K167="Shared with Skipr",1,IF(OR(K167="Got it (not shared yet)",K167="transfer confirmation received"),0.75,IF(OR(K167="Collecting",K167="3. info shared with finance colleague"),0.25,0)))
    +IF(K168="Shared with Skipr",1,IF(OR(K168="Got it (not shared yet)",K168="transfer confirmation received"),0.75,IF(OR(K168="Collecting",K168="3. info shared with finance colleague"),0.25,0)))
    +IF(K170="Shared with Skipr",1,IF(OR(K170="Got it (not shared yet)",K170="transfer confirmation received"),0.75,IF(OR(K170="Collecting",K170="3. info shared with finance colleague"),0.25,0)))
    +IF(K172="Shared with Skipr",1,IF(OR(K172="Got it (not shared yet)",K172="transfer confirmation received"),0.75,IF(OR(K172="Collecting",K172="3. info shared with finance colleague"),0.25,0)))
    +IF(K174="Shared with Skipr",1,IF(OR(K174="Got it (not shared yet)",K174="transfer confirmation received"),0.75,IF(OR(K174="Collecting",K174="3. info shared with finance colleague"),0.25,0)))
    +IF(K176="Shared with Skipr",1,IF(OR(K176="Got it (not shared yet)",K176="transfer confirmation received"),0.75,IF(OR(K176="Collecting",K176="3. info shared with finance colleague"),0.25,0)))
    +IF(K178="Shared with Skipr",1,IF(OR(K178="Got it (not shared yet)",K178="transfer confirmation received"),0.75,IF(OR(K178="Collecting",K178="3. info shared with finance colleague"),0.25,0)))
    +IF(K180="Shared with Skipr",1,IF(OR(K180="Got it (not shared yet)",K180="transfer confirmation received"),0.75,IF(OR(K180="Collecting",K180="3. info shared with finance colleague"),0.25,0)))
    +IF(K182="Shared with Skipr",1,IF(OR(K182="Got it (not shared yet)",K182="transfer confirmation received"),0.75,IF(OR(K182="Collecting",K182="info shared with finance colleague"),0.25,0)))
    +IF(K183="Shared with Skipr",1,IF(OR(K183="Got it (not shared yet)",K183="transfer confirmation received"),0.75,IF(OR(K183="Collecting",K183="3. info shared with finance colleague"),0.25,0)))
    +IF(K188="Shared with Skipr",1,IF(OR(K188="Got it (not shared yet)",K188="transfer confirmation received"),0.75,IF(OR(K188="Collecting",K188="3. info shared with finance colleague"),0.25,0)))
    +IF(K193="5. Skipr informed of Transfer",1,IF(OR(K193="Got it (not shared yet)",K193="transfer confirmation received"),0.75,IF(OR(K193="Collecting",K193="3. info shared with finance colleague"),0.25,0)))
  ) 
  /
  (
    COUNTIF(K167,"&lt;&gt;N/A")+COUNTIF(K168,"&lt;&gt;N/A")+COUNTIF(K170,"&lt;&gt;N/A")+COUNTIF(K172,"&lt;&gt;N/A")+COUNTIF(K174,"&lt;&gt;N/A")+COUNTIF(K176,"&lt;&gt;N/A")+COUNTIF(K178,"&lt;&gt;N/A")+COUNTIF(K180,"&lt;&gt;N/A")+COUNTIF(K182,"&lt;&gt;N/A")+COUNTIF(K183,"&lt;&gt;N/A")+COUNTIF(K188,"&lt;&gt;N/A")+COUNTIF(K193,"&lt;&gt;N/A")
  )
,0)</f>
        <v>0</v>
      </c>
      <c r="L166" s="395"/>
      <c r="M166" s="114"/>
      <c r="N166" s="161"/>
      <c r="O166" s="35"/>
      <c r="P166" s="36"/>
      <c r="Q166" s="27"/>
    </row>
    <row r="167" hidden="1" outlineLevel="1">
      <c r="A167" s="27"/>
      <c r="B167" s="27"/>
      <c r="C167" s="27"/>
      <c r="D167" s="402" t="s">
        <v>444</v>
      </c>
      <c r="E167" s="15"/>
      <c r="F167" s="15"/>
      <c r="G167" s="15"/>
      <c r="H167" s="15"/>
      <c r="I167" s="15"/>
      <c r="J167" s="16"/>
      <c r="K167" s="403" t="s">
        <v>452</v>
      </c>
      <c r="L167" s="16"/>
      <c r="M167" s="114"/>
      <c r="N167" s="161"/>
      <c r="O167" s="35"/>
      <c r="P167" s="36"/>
      <c r="Q167" s="27"/>
    </row>
    <row r="168" hidden="1" outlineLevel="1">
      <c r="A168" s="27"/>
      <c r="B168" s="27"/>
      <c r="C168" s="27"/>
      <c r="D168" s="405" t="s">
        <v>495</v>
      </c>
      <c r="E168" s="15"/>
      <c r="F168" s="15"/>
      <c r="G168" s="15"/>
      <c r="H168" s="15"/>
      <c r="I168" s="15"/>
      <c r="J168" s="16"/>
      <c r="K168" s="403" t="s">
        <v>452</v>
      </c>
      <c r="L168" s="16"/>
      <c r="M168" s="114"/>
      <c r="N168" s="161"/>
      <c r="O168" s="35"/>
      <c r="P168" s="36"/>
      <c r="Q168" s="27"/>
    </row>
    <row r="169" hidden="1" outlineLevel="1">
      <c r="A169" s="27"/>
      <c r="B169" s="27"/>
      <c r="C169" s="27"/>
      <c r="D169" s="407" t="s">
        <v>496</v>
      </c>
      <c r="E169" s="35"/>
      <c r="F169" s="35"/>
      <c r="G169" s="35"/>
      <c r="H169" s="35"/>
      <c r="I169" s="35"/>
      <c r="J169" s="36"/>
      <c r="K169" s="408"/>
      <c r="L169" s="36"/>
      <c r="M169" s="114"/>
      <c r="N169" s="161"/>
      <c r="O169" s="35"/>
      <c r="P169" s="36"/>
      <c r="Q169" s="27"/>
    </row>
    <row r="170" hidden="1" outlineLevel="1">
      <c r="A170" s="27"/>
      <c r="B170" s="27"/>
      <c r="C170" s="27"/>
      <c r="D170" s="402" t="s">
        <v>449</v>
      </c>
      <c r="E170" s="15"/>
      <c r="F170" s="15"/>
      <c r="G170" s="15"/>
      <c r="H170" s="15"/>
      <c r="I170" s="15"/>
      <c r="J170" s="16"/>
      <c r="K170" s="403" t="s">
        <v>452</v>
      </c>
      <c r="L170" s="16"/>
      <c r="M170" s="114"/>
      <c r="N170" s="161"/>
      <c r="O170" s="35"/>
      <c r="P170" s="36"/>
      <c r="Q170" s="27"/>
    </row>
    <row r="171" hidden="1" outlineLevel="1">
      <c r="A171" s="27"/>
      <c r="B171" s="27"/>
      <c r="C171" s="27"/>
      <c r="D171" s="409" t="s">
        <v>497</v>
      </c>
      <c r="E171" s="35"/>
      <c r="F171" s="35"/>
      <c r="G171" s="35"/>
      <c r="H171" s="35"/>
      <c r="I171" s="35"/>
      <c r="J171" s="36"/>
      <c r="K171" s="408"/>
      <c r="L171" s="36"/>
      <c r="M171" s="114"/>
      <c r="N171" s="161"/>
      <c r="O171" s="35"/>
      <c r="P171" s="36"/>
      <c r="Q171" s="27"/>
    </row>
    <row r="172" hidden="1" outlineLevel="1">
      <c r="A172" s="27"/>
      <c r="B172" s="27"/>
      <c r="C172" s="27"/>
      <c r="D172" s="410" t="s">
        <v>451</v>
      </c>
      <c r="E172" s="35"/>
      <c r="F172" s="35"/>
      <c r="G172" s="35"/>
      <c r="H172" s="35"/>
      <c r="I172" s="35"/>
      <c r="J172" s="36"/>
      <c r="K172" s="403" t="s">
        <v>452</v>
      </c>
      <c r="L172" s="16"/>
      <c r="M172" s="114"/>
      <c r="N172" s="161"/>
      <c r="O172" s="35"/>
      <c r="P172" s="36"/>
      <c r="Q172" s="27"/>
    </row>
    <row r="173" hidden="1" outlineLevel="1">
      <c r="A173" s="27"/>
      <c r="B173" s="27"/>
      <c r="C173" s="27"/>
      <c r="D173" s="409" t="s">
        <v>498</v>
      </c>
      <c r="E173" s="35"/>
      <c r="F173" s="35"/>
      <c r="G173" s="35"/>
      <c r="H173" s="35"/>
      <c r="I173" s="35"/>
      <c r="J173" s="36"/>
      <c r="K173" s="408"/>
      <c r="L173" s="36"/>
      <c r="M173" s="114"/>
      <c r="N173" s="161"/>
      <c r="O173" s="35"/>
      <c r="P173" s="36"/>
      <c r="Q173" s="27"/>
    </row>
    <row r="174" hidden="1" outlineLevel="1">
      <c r="A174" s="27"/>
      <c r="B174" s="27"/>
      <c r="C174" s="27"/>
      <c r="D174" s="405" t="s">
        <v>499</v>
      </c>
      <c r="E174" s="15"/>
      <c r="F174" s="15"/>
      <c r="G174" s="15"/>
      <c r="H174" s="15"/>
      <c r="I174" s="15"/>
      <c r="J174" s="16"/>
      <c r="K174" s="403" t="s">
        <v>452</v>
      </c>
      <c r="L174" s="16"/>
      <c r="M174" s="114"/>
      <c r="N174" s="161"/>
      <c r="O174" s="35"/>
      <c r="P174" s="36"/>
      <c r="Q174" s="27"/>
    </row>
    <row r="175" hidden="1" outlineLevel="1">
      <c r="A175" s="27"/>
      <c r="B175" s="27"/>
      <c r="C175" s="27"/>
      <c r="D175" s="411"/>
      <c r="E175" s="412" t="s">
        <v>455</v>
      </c>
      <c r="F175" s="35"/>
      <c r="G175" s="35"/>
      <c r="H175" s="35"/>
      <c r="I175" s="35"/>
      <c r="J175" s="36"/>
      <c r="K175" s="403"/>
      <c r="L175" s="16"/>
      <c r="M175" s="114"/>
      <c r="N175" s="161"/>
      <c r="O175" s="35"/>
      <c r="P175" s="36"/>
      <c r="Q175" s="27"/>
    </row>
    <row r="176" hidden="1" outlineLevel="1">
      <c r="A176" s="27"/>
      <c r="B176" s="27"/>
      <c r="C176" s="27"/>
      <c r="D176" s="413"/>
      <c r="E176" s="414" t="s">
        <v>456</v>
      </c>
      <c r="F176" s="183"/>
      <c r="G176" s="183"/>
      <c r="H176" s="183"/>
      <c r="I176" s="183"/>
      <c r="J176" s="183"/>
      <c r="K176" s="403" t="s">
        <v>452</v>
      </c>
      <c r="L176" s="16"/>
      <c r="M176" s="114"/>
      <c r="N176" s="161"/>
      <c r="O176" s="35"/>
      <c r="P176" s="36"/>
      <c r="Q176" s="27"/>
    </row>
    <row r="177" hidden="1" outlineLevel="1">
      <c r="A177" s="27"/>
      <c r="B177" s="27"/>
      <c r="C177" s="27"/>
      <c r="D177" s="415" t="s">
        <v>457</v>
      </c>
      <c r="E177" s="416" t="s">
        <v>458</v>
      </c>
      <c r="F177" s="195"/>
      <c r="G177" s="195"/>
      <c r="H177" s="195"/>
      <c r="I177" s="195"/>
      <c r="J177" s="195"/>
      <c r="K177" s="195"/>
      <c r="L177" s="417"/>
      <c r="M177" s="114"/>
      <c r="N177" s="161"/>
      <c r="O177" s="35"/>
      <c r="P177" s="36"/>
      <c r="Q177" s="27"/>
    </row>
    <row r="178" hidden="1" outlineLevel="1">
      <c r="A178" s="27"/>
      <c r="B178" s="27"/>
      <c r="C178" s="27"/>
      <c r="D178" s="418"/>
      <c r="E178" s="419" t="s">
        <v>493</v>
      </c>
      <c r="F178" s="195"/>
      <c r="G178" s="195"/>
      <c r="H178" s="195"/>
      <c r="I178" s="195"/>
      <c r="J178" s="417"/>
      <c r="K178" s="403" t="s">
        <v>452</v>
      </c>
      <c r="L178" s="16"/>
      <c r="M178" s="114"/>
      <c r="N178" s="150"/>
      <c r="O178" s="35"/>
      <c r="P178" s="36"/>
      <c r="Q178" s="27"/>
    </row>
    <row r="179" hidden="1" outlineLevel="1">
      <c r="A179" s="27"/>
      <c r="B179" s="27"/>
      <c r="C179" s="27"/>
      <c r="D179" s="411"/>
      <c r="E179" s="412" t="s">
        <v>460</v>
      </c>
      <c r="F179" s="35"/>
      <c r="G179" s="35"/>
      <c r="H179" s="35"/>
      <c r="I179" s="35"/>
      <c r="J179" s="36"/>
      <c r="K179" s="403"/>
      <c r="L179" s="16"/>
      <c r="M179" s="114"/>
      <c r="N179" s="150"/>
      <c r="O179" s="35"/>
      <c r="P179" s="36"/>
      <c r="Q179" s="27"/>
    </row>
    <row r="180" hidden="1" outlineLevel="1">
      <c r="A180" s="27"/>
      <c r="B180" s="27"/>
      <c r="C180" s="27"/>
      <c r="D180" s="413"/>
      <c r="E180" s="414" t="s">
        <v>461</v>
      </c>
      <c r="F180" s="183"/>
      <c r="G180" s="183"/>
      <c r="H180" s="183"/>
      <c r="I180" s="183"/>
      <c r="J180" s="183"/>
      <c r="K180" s="403" t="s">
        <v>452</v>
      </c>
      <c r="L180" s="16"/>
      <c r="M180" s="114"/>
      <c r="N180" s="150"/>
      <c r="O180" s="35"/>
      <c r="P180" s="36"/>
      <c r="Q180" s="27"/>
    </row>
    <row r="181" hidden="1" outlineLevel="1">
      <c r="A181" s="27"/>
      <c r="B181" s="27"/>
      <c r="C181" s="27"/>
      <c r="D181" s="411"/>
      <c r="E181" s="412" t="s">
        <v>462</v>
      </c>
      <c r="F181" s="35"/>
      <c r="G181" s="35"/>
      <c r="H181" s="35"/>
      <c r="I181" s="35"/>
      <c r="J181" s="36"/>
      <c r="K181" s="403"/>
      <c r="L181" s="16"/>
      <c r="M181" s="114"/>
      <c r="N181" s="161"/>
      <c r="O181" s="35"/>
      <c r="P181" s="36"/>
      <c r="Q181" s="27"/>
    </row>
    <row r="182" hidden="1" outlineLevel="1">
      <c r="A182" s="27"/>
      <c r="B182" s="27"/>
      <c r="C182" s="27"/>
      <c r="D182" s="413"/>
      <c r="E182" s="414" t="s">
        <v>463</v>
      </c>
      <c r="F182" s="183"/>
      <c r="G182" s="183"/>
      <c r="H182" s="183"/>
      <c r="I182" s="183"/>
      <c r="J182" s="183"/>
      <c r="K182" s="403" t="s">
        <v>452</v>
      </c>
      <c r="L182" s="16"/>
      <c r="M182" s="114"/>
      <c r="N182" s="161"/>
      <c r="O182" s="35"/>
      <c r="P182" s="36"/>
      <c r="Q182" s="27"/>
    </row>
    <row r="183" hidden="1" outlineLevel="1">
      <c r="A183" s="27"/>
      <c r="B183" s="27"/>
      <c r="C183" s="27"/>
      <c r="D183" s="420" t="s">
        <v>479</v>
      </c>
      <c r="E183" s="35"/>
      <c r="F183" s="35"/>
      <c r="G183" s="35"/>
      <c r="H183" s="35"/>
      <c r="I183" s="35"/>
      <c r="J183" s="36"/>
      <c r="K183" s="403" t="s">
        <v>452</v>
      </c>
      <c r="L183" s="16"/>
      <c r="M183" s="114"/>
      <c r="N183" s="161"/>
      <c r="O183" s="35"/>
      <c r="P183" s="36"/>
      <c r="Q183" s="27"/>
    </row>
    <row r="184" hidden="1" outlineLevel="1">
      <c r="A184" s="27"/>
      <c r="B184" s="27"/>
      <c r="C184" s="27"/>
      <c r="D184" s="421" t="s">
        <v>465</v>
      </c>
      <c r="E184" s="183"/>
      <c r="F184" s="183"/>
      <c r="G184" s="184"/>
      <c r="H184" s="422"/>
      <c r="I184" s="422"/>
      <c r="J184" s="423" t="s">
        <v>466</v>
      </c>
      <c r="K184" s="424"/>
      <c r="L184" s="425"/>
      <c r="M184" s="114"/>
      <c r="N184" s="161"/>
      <c r="O184" s="35"/>
      <c r="P184" s="36"/>
      <c r="Q184" s="27"/>
    </row>
    <row r="185" hidden="1" outlineLevel="1">
      <c r="A185" s="27"/>
      <c r="B185" s="27"/>
      <c r="C185" s="27"/>
      <c r="D185" s="426"/>
      <c r="E185" s="427"/>
      <c r="F185" s="427"/>
      <c r="G185" s="427"/>
      <c r="H185" s="427"/>
      <c r="I185" s="427"/>
      <c r="J185" s="428" t="s">
        <v>467</v>
      </c>
      <c r="K185" s="424"/>
      <c r="L185" s="429"/>
      <c r="M185" s="114"/>
      <c r="N185" s="161"/>
      <c r="O185" s="35"/>
      <c r="P185" s="36"/>
      <c r="Q185" s="27"/>
    </row>
    <row r="186" hidden="1" outlineLevel="1">
      <c r="A186" s="27"/>
      <c r="B186" s="27"/>
      <c r="C186" s="27"/>
      <c r="D186" s="426"/>
      <c r="E186" s="427"/>
      <c r="F186" s="427"/>
      <c r="G186" s="427"/>
      <c r="H186" s="427"/>
      <c r="I186" s="427"/>
      <c r="J186" s="428" t="s">
        <v>468</v>
      </c>
      <c r="K186" s="424"/>
      <c r="L186" s="429"/>
      <c r="M186" s="114"/>
      <c r="N186" s="169"/>
      <c r="O186" s="35"/>
      <c r="P186" s="36"/>
      <c r="Q186" s="27"/>
    </row>
    <row r="187" hidden="1" outlineLevel="1">
      <c r="A187" s="27"/>
      <c r="B187" s="27"/>
      <c r="C187" s="27"/>
      <c r="D187" s="430"/>
      <c r="E187" s="431"/>
      <c r="F187" s="431"/>
      <c r="G187" s="431"/>
      <c r="H187" s="432"/>
      <c r="I187" s="432"/>
      <c r="J187" s="433" t="s">
        <v>469</v>
      </c>
      <c r="K187" s="424"/>
      <c r="L187" s="434"/>
      <c r="M187" s="114"/>
      <c r="N187" s="161"/>
      <c r="O187" s="35"/>
      <c r="P187" s="36"/>
      <c r="Q187" s="27"/>
    </row>
    <row r="188" hidden="1" outlineLevel="1">
      <c r="A188" s="27"/>
      <c r="B188" s="27"/>
      <c r="C188" s="27"/>
      <c r="D188" s="435" t="s">
        <v>480</v>
      </c>
      <c r="E188" s="35"/>
      <c r="F188" s="35"/>
      <c r="G188" s="35"/>
      <c r="H188" s="35"/>
      <c r="I188" s="35"/>
      <c r="J188" s="36"/>
      <c r="K188" s="403" t="s">
        <v>452</v>
      </c>
      <c r="L188" s="16"/>
      <c r="M188" s="114"/>
      <c r="N188" s="169"/>
      <c r="O188" s="35"/>
      <c r="P188" s="36"/>
      <c r="Q188" s="27"/>
    </row>
    <row r="189" hidden="1" outlineLevel="1">
      <c r="A189" s="27"/>
      <c r="B189" s="27"/>
      <c r="C189" s="27"/>
      <c r="D189" s="421" t="s">
        <v>465</v>
      </c>
      <c r="E189" s="183"/>
      <c r="F189" s="183"/>
      <c r="G189" s="184"/>
      <c r="H189" s="422"/>
      <c r="I189" s="422"/>
      <c r="J189" s="423" t="s">
        <v>466</v>
      </c>
      <c r="K189" s="424"/>
      <c r="L189" s="425"/>
      <c r="M189" s="114"/>
      <c r="N189" s="161"/>
      <c r="O189" s="35"/>
      <c r="P189" s="36"/>
      <c r="Q189" s="27"/>
    </row>
    <row r="190" hidden="1" outlineLevel="1">
      <c r="A190" s="27"/>
      <c r="B190" s="27"/>
      <c r="C190" s="27"/>
      <c r="D190" s="426"/>
      <c r="E190" s="427"/>
      <c r="F190" s="427"/>
      <c r="G190" s="427"/>
      <c r="H190" s="427"/>
      <c r="I190" s="427"/>
      <c r="J190" s="428" t="s">
        <v>467</v>
      </c>
      <c r="K190" s="424"/>
      <c r="L190" s="429"/>
      <c r="M190" s="114"/>
      <c r="N190" s="169"/>
      <c r="O190" s="35"/>
      <c r="P190" s="36"/>
      <c r="Q190" s="27"/>
    </row>
    <row r="191" hidden="1" outlineLevel="1">
      <c r="A191" s="27"/>
      <c r="B191" s="27"/>
      <c r="C191" s="27"/>
      <c r="D191" s="426"/>
      <c r="E191" s="427"/>
      <c r="F191" s="427"/>
      <c r="G191" s="427"/>
      <c r="H191" s="427"/>
      <c r="I191" s="427"/>
      <c r="J191" s="428" t="s">
        <v>468</v>
      </c>
      <c r="K191" s="424"/>
      <c r="L191" s="429"/>
      <c r="M191" s="114"/>
      <c r="N191" s="161"/>
      <c r="O191" s="35"/>
      <c r="P191" s="36"/>
      <c r="Q191" s="27"/>
    </row>
    <row r="192" hidden="1" outlineLevel="1">
      <c r="A192" s="27"/>
      <c r="B192" s="27"/>
      <c r="C192" s="27"/>
      <c r="D192" s="430"/>
      <c r="E192" s="431"/>
      <c r="F192" s="431"/>
      <c r="G192" s="431"/>
      <c r="H192" s="432"/>
      <c r="I192" s="432"/>
      <c r="J192" s="433" t="s">
        <v>469</v>
      </c>
      <c r="K192" s="424"/>
      <c r="L192" s="434"/>
      <c r="M192" s="114"/>
      <c r="N192" s="161"/>
      <c r="O192" s="35"/>
      <c r="P192" s="36"/>
      <c r="Q192" s="27"/>
    </row>
    <row r="193" hidden="1" outlineLevel="1">
      <c r="A193" s="27"/>
      <c r="B193" s="27"/>
      <c r="C193" s="27"/>
      <c r="D193" s="436" t="s">
        <v>471</v>
      </c>
      <c r="E193" s="10"/>
      <c r="F193" s="10"/>
      <c r="G193" s="10"/>
      <c r="H193" s="10"/>
      <c r="I193" s="10"/>
      <c r="J193" s="437"/>
      <c r="K193" s="438" t="s">
        <v>472</v>
      </c>
      <c r="L193" s="11"/>
      <c r="M193" s="114"/>
      <c r="N193" s="161"/>
      <c r="O193" s="35"/>
      <c r="P193" s="36"/>
      <c r="Q193" s="27"/>
    </row>
    <row r="194" collapsed="1">
      <c r="A194" s="146" t="s">
        <v>500</v>
      </c>
      <c r="B194" s="27"/>
      <c r="C194" s="58"/>
      <c r="D194" s="397" t="str">
        <f>'🤝 Client information'!C85</f>
        <v/>
      </c>
      <c r="E194" s="395"/>
      <c r="F194" s="395"/>
      <c r="G194" s="395"/>
      <c r="H194" s="398"/>
      <c r="I194" s="399"/>
      <c r="J194" s="400" t="s">
        <v>443</v>
      </c>
      <c r="K194" s="401">
        <f>IFERROR(
  (
    IF(K195="Shared with Skipr",1,IF(OR(K195="Got it (not shared yet)",K195="transfer confirmation received"),0.75,IF(OR(K195="Collecting",K195="3. info shared with finance colleague"),0.25,0)))
    +IF(K196="Shared with Skipr",1,IF(OR(K196="Got it (not shared yet)",K196="transfer confirmation received"),0.75,IF(OR(K196="Collecting",K196="3. info shared with finance colleague"),0.25,0)))
    +IF(K198="Shared with Skipr",1,IF(OR(K198="Got it (not shared yet)",K198="transfer confirmation received"),0.75,IF(OR(K198="Collecting",K198="3. info shared with finance colleague"),0.25,0)))
    +IF(K200="Shared with Skipr",1,IF(OR(K200="Got it (not shared yet)",K200="transfer confirmation received"),0.75,IF(OR(K200="Collecting",K200="3. info shared with finance colleague"),0.25,0)))
    +IF(K202="Shared with Skipr",1,IF(OR(K202="Got it (not shared yet)",K202="transfer confirmation received"),0.75,IF(OR(K202="Collecting",K202="3. info shared with finance colleague"),0.25,0)))
    +IF(K204="Shared with Skipr",1,IF(OR(K204="Got it (not shared yet)",K204="transfer confirmation received"),0.75,IF(OR(K204="Collecting",K204="3. info shared with finance colleague"),0.25,0)))
    +IF(K206="Shared with Skipr",1,IF(OR(K206="Got it (not shared yet)",K206="transfer confirmation received"),0.75,IF(OR(K206="Collecting",K206="3. info shared with finance colleague"),0.25,0)))
    +IF(K208="Shared with Skipr",1,IF(OR(K208="Got it (not shared yet)",K208="transfer confirmation received"),0.75,IF(OR(K208="Collecting",K208="3. info shared with finance colleague"),0.25,0)))
    +IF(K210="Shared with Skipr",1,IF(OR(K210="Got it (not shared yet)",K210="transfer confirmation received"),0.75,IF(OR(K210="Collecting",K210="info shared with finance colleague"),0.25,0)))
    +IF(K211="Shared with Skipr",1,IF(OR(K211="Got it (not shared yet)",K211="transfer confirmation received"),0.75,IF(OR(K211="Collecting",K211="3. info shared with finance colleague"),0.25,0)))
    +IF(K216="Shared with Skipr",1,IF(OR(K216="Got it (not shared yet)",K216="transfer confirmation received"),0.75,IF(OR(K216="Collecting",K216="3. info shared with finance colleague"),0.25,0)))
    +IF(K221="5. Skipr informed of Transfer",1,IF(OR(K221="Got it (not shared yet)",K221="transfer confirmation received"),0.75,IF(OR(K221="Collecting",K221="3. info shared with finance colleague"),0.25,0)))
  ) 
  /
  (
    COUNTIF(K195,"&lt;&gt;N/A")+COUNTIF(K196,"&lt;&gt;N/A")+COUNTIF(K198,"&lt;&gt;N/A")+COUNTIF(K200,"&lt;&gt;N/A")+COUNTIF(K202,"&lt;&gt;N/A")+COUNTIF(K204,"&lt;&gt;N/A")+COUNTIF(K206,"&lt;&gt;N/A")+COUNTIF(K208,"&lt;&gt;N/A")+COUNTIF(K210,"&lt;&gt;N/A")+COUNTIF(K211,"&lt;&gt;N/A")+COUNTIF(K216,"&lt;&gt;N/A")+COUNTIF(K221,"&lt;&gt;N/A")
  )
,0)</f>
        <v>0</v>
      </c>
      <c r="L194" s="395"/>
      <c r="M194" s="114"/>
      <c r="N194" s="161"/>
      <c r="O194" s="35"/>
      <c r="P194" s="36"/>
      <c r="Q194" s="27"/>
    </row>
    <row r="195" hidden="1" outlineLevel="1">
      <c r="A195" s="27"/>
      <c r="B195" s="27"/>
      <c r="C195" s="27"/>
      <c r="D195" s="402" t="s">
        <v>444</v>
      </c>
      <c r="E195" s="15"/>
      <c r="F195" s="15"/>
      <c r="G195" s="15"/>
      <c r="H195" s="15"/>
      <c r="I195" s="15"/>
      <c r="J195" s="16"/>
      <c r="K195" s="403" t="s">
        <v>452</v>
      </c>
      <c r="L195" s="16"/>
      <c r="M195" s="114"/>
      <c r="N195" s="161"/>
      <c r="O195" s="35"/>
      <c r="P195" s="36"/>
      <c r="Q195" s="27"/>
    </row>
    <row r="196" hidden="1" outlineLevel="1">
      <c r="A196" s="27"/>
      <c r="B196" s="27"/>
      <c r="C196" s="27"/>
      <c r="D196" s="405" t="s">
        <v>501</v>
      </c>
      <c r="E196" s="15"/>
      <c r="F196" s="15"/>
      <c r="G196" s="15"/>
      <c r="H196" s="15"/>
      <c r="I196" s="15"/>
      <c r="J196" s="16"/>
      <c r="K196" s="403" t="s">
        <v>452</v>
      </c>
      <c r="L196" s="16"/>
      <c r="M196" s="114"/>
      <c r="N196" s="161"/>
      <c r="O196" s="35"/>
      <c r="P196" s="36"/>
      <c r="Q196" s="27"/>
    </row>
    <row r="197" hidden="1" outlineLevel="1">
      <c r="A197" s="27"/>
      <c r="B197" s="27"/>
      <c r="C197" s="27"/>
      <c r="D197" s="407" t="s">
        <v>502</v>
      </c>
      <c r="E197" s="35"/>
      <c r="F197" s="35"/>
      <c r="G197" s="35"/>
      <c r="H197" s="35"/>
      <c r="I197" s="35"/>
      <c r="J197" s="36"/>
      <c r="K197" s="408"/>
      <c r="L197" s="36"/>
      <c r="M197" s="114"/>
      <c r="N197" s="161"/>
      <c r="O197" s="35"/>
      <c r="P197" s="36"/>
      <c r="Q197" s="27"/>
    </row>
    <row r="198" hidden="1" outlineLevel="1">
      <c r="A198" s="27"/>
      <c r="B198" s="27"/>
      <c r="C198" s="27"/>
      <c r="D198" s="402" t="s">
        <v>449</v>
      </c>
      <c r="E198" s="15"/>
      <c r="F198" s="15"/>
      <c r="G198" s="15"/>
      <c r="H198" s="15"/>
      <c r="I198" s="15"/>
      <c r="J198" s="16"/>
      <c r="K198" s="403" t="s">
        <v>452</v>
      </c>
      <c r="L198" s="16"/>
      <c r="M198" s="114"/>
      <c r="N198" s="161"/>
      <c r="O198" s="35"/>
      <c r="P198" s="36"/>
      <c r="Q198" s="27"/>
    </row>
    <row r="199" hidden="1" outlineLevel="1">
      <c r="A199" s="27"/>
      <c r="B199" s="27"/>
      <c r="C199" s="27"/>
      <c r="D199" s="409" t="s">
        <v>503</v>
      </c>
      <c r="E199" s="35"/>
      <c r="F199" s="35"/>
      <c r="G199" s="35"/>
      <c r="H199" s="35"/>
      <c r="I199" s="35"/>
      <c r="J199" s="36"/>
      <c r="K199" s="408"/>
      <c r="L199" s="36"/>
      <c r="M199" s="114"/>
      <c r="N199" s="161"/>
      <c r="O199" s="35"/>
      <c r="P199" s="36"/>
      <c r="Q199" s="27"/>
    </row>
    <row r="200" hidden="1" outlineLevel="1">
      <c r="A200" s="27"/>
      <c r="B200" s="27"/>
      <c r="C200" s="27"/>
      <c r="D200" s="410" t="s">
        <v>451</v>
      </c>
      <c r="E200" s="35"/>
      <c r="F200" s="35"/>
      <c r="G200" s="35"/>
      <c r="H200" s="35"/>
      <c r="I200" s="35"/>
      <c r="J200" s="36"/>
      <c r="K200" s="403" t="s">
        <v>452</v>
      </c>
      <c r="L200" s="16"/>
      <c r="M200" s="114"/>
      <c r="N200" s="161"/>
      <c r="O200" s="35"/>
      <c r="P200" s="36"/>
      <c r="Q200" s="27"/>
    </row>
    <row r="201" hidden="1" outlineLevel="1">
      <c r="A201" s="27"/>
      <c r="B201" s="27"/>
      <c r="C201" s="27"/>
      <c r="D201" s="409" t="s">
        <v>504</v>
      </c>
      <c r="E201" s="35"/>
      <c r="F201" s="35"/>
      <c r="G201" s="35"/>
      <c r="H201" s="35"/>
      <c r="I201" s="35"/>
      <c r="J201" s="36"/>
      <c r="K201" s="408"/>
      <c r="L201" s="36"/>
      <c r="M201" s="114"/>
      <c r="N201" s="161"/>
      <c r="O201" s="35"/>
      <c r="P201" s="36"/>
      <c r="Q201" s="27"/>
    </row>
    <row r="202" hidden="1" outlineLevel="1">
      <c r="A202" s="27"/>
      <c r="B202" s="27"/>
      <c r="C202" s="27"/>
      <c r="D202" s="405" t="s">
        <v>505</v>
      </c>
      <c r="E202" s="15"/>
      <c r="F202" s="15"/>
      <c r="G202" s="15"/>
      <c r="H202" s="15"/>
      <c r="I202" s="15"/>
      <c r="J202" s="16"/>
      <c r="K202" s="403" t="s">
        <v>452</v>
      </c>
      <c r="L202" s="16"/>
      <c r="M202" s="114"/>
      <c r="N202" s="161"/>
      <c r="O202" s="35"/>
      <c r="P202" s="36"/>
      <c r="Q202" s="27"/>
    </row>
    <row r="203" hidden="1" outlineLevel="1">
      <c r="A203" s="27"/>
      <c r="B203" s="27"/>
      <c r="C203" s="27"/>
      <c r="D203" s="411"/>
      <c r="E203" s="412" t="s">
        <v>455</v>
      </c>
      <c r="F203" s="35"/>
      <c r="G203" s="35"/>
      <c r="H203" s="35"/>
      <c r="I203" s="35"/>
      <c r="J203" s="36"/>
      <c r="K203" s="403"/>
      <c r="L203" s="16"/>
      <c r="M203" s="114"/>
      <c r="N203" s="161"/>
      <c r="O203" s="35"/>
      <c r="P203" s="36"/>
      <c r="Q203" s="27"/>
    </row>
    <row r="204" hidden="1" outlineLevel="1">
      <c r="A204" s="27"/>
      <c r="B204" s="27"/>
      <c r="C204" s="27"/>
      <c r="D204" s="413"/>
      <c r="E204" s="414" t="s">
        <v>456</v>
      </c>
      <c r="F204" s="183"/>
      <c r="G204" s="183"/>
      <c r="H204" s="183"/>
      <c r="I204" s="183"/>
      <c r="J204" s="183"/>
      <c r="K204" s="403" t="s">
        <v>452</v>
      </c>
      <c r="L204" s="16"/>
      <c r="M204" s="114"/>
      <c r="N204" s="161"/>
      <c r="O204" s="35"/>
      <c r="P204" s="36"/>
      <c r="Q204" s="27"/>
    </row>
    <row r="205" hidden="1" outlineLevel="1">
      <c r="A205" s="27"/>
      <c r="B205" s="27"/>
      <c r="C205" s="27"/>
      <c r="D205" s="415" t="s">
        <v>457</v>
      </c>
      <c r="E205" s="416" t="s">
        <v>458</v>
      </c>
      <c r="F205" s="195"/>
      <c r="G205" s="195"/>
      <c r="H205" s="195"/>
      <c r="I205" s="195"/>
      <c r="J205" s="195"/>
      <c r="K205" s="195"/>
      <c r="L205" s="417"/>
      <c r="M205" s="114"/>
      <c r="N205" s="161"/>
      <c r="O205" s="35"/>
      <c r="P205" s="36"/>
      <c r="Q205" s="27"/>
    </row>
    <row r="206" hidden="1" outlineLevel="1">
      <c r="A206" s="27"/>
      <c r="B206" s="27"/>
      <c r="C206" s="27"/>
      <c r="D206" s="418"/>
      <c r="E206" s="419" t="s">
        <v>493</v>
      </c>
      <c r="F206" s="195"/>
      <c r="G206" s="195"/>
      <c r="H206" s="195"/>
      <c r="I206" s="195"/>
      <c r="J206" s="417"/>
      <c r="K206" s="403" t="s">
        <v>452</v>
      </c>
      <c r="L206" s="16"/>
      <c r="M206" s="114"/>
      <c r="N206" s="150"/>
      <c r="O206" s="35"/>
      <c r="P206" s="36"/>
      <c r="Q206" s="27"/>
    </row>
    <row r="207" hidden="1" outlineLevel="1">
      <c r="A207" s="27"/>
      <c r="B207" s="27"/>
      <c r="C207" s="27"/>
      <c r="D207" s="411"/>
      <c r="E207" s="412" t="s">
        <v>460</v>
      </c>
      <c r="F207" s="35"/>
      <c r="G207" s="35"/>
      <c r="H207" s="35"/>
      <c r="I207" s="35"/>
      <c r="J207" s="36"/>
      <c r="K207" s="403"/>
      <c r="L207" s="16"/>
      <c r="M207" s="114"/>
      <c r="N207" s="161"/>
      <c r="O207" s="35"/>
      <c r="P207" s="36"/>
      <c r="Q207" s="27"/>
    </row>
    <row r="208" hidden="1" outlineLevel="1">
      <c r="A208" s="27"/>
      <c r="B208" s="27"/>
      <c r="C208" s="27"/>
      <c r="D208" s="413"/>
      <c r="E208" s="414" t="s">
        <v>461</v>
      </c>
      <c r="F208" s="183"/>
      <c r="G208" s="183"/>
      <c r="H208" s="183"/>
      <c r="I208" s="183"/>
      <c r="J208" s="183"/>
      <c r="K208" s="403" t="s">
        <v>452</v>
      </c>
      <c r="L208" s="16"/>
      <c r="M208" s="114"/>
      <c r="N208" s="161"/>
      <c r="O208" s="35"/>
      <c r="P208" s="36"/>
      <c r="Q208" s="27"/>
    </row>
    <row r="209" hidden="1" outlineLevel="1">
      <c r="A209" s="27"/>
      <c r="B209" s="27"/>
      <c r="C209" s="27"/>
      <c r="D209" s="411"/>
      <c r="E209" s="412" t="s">
        <v>462</v>
      </c>
      <c r="F209" s="35"/>
      <c r="G209" s="35"/>
      <c r="H209" s="35"/>
      <c r="I209" s="35"/>
      <c r="J209" s="36"/>
      <c r="K209" s="403"/>
      <c r="L209" s="16"/>
      <c r="M209" s="114"/>
      <c r="N209" s="150"/>
      <c r="O209" s="35"/>
      <c r="P209" s="36"/>
      <c r="Q209" s="27"/>
    </row>
    <row r="210" hidden="1" outlineLevel="1">
      <c r="A210" s="27"/>
      <c r="B210" s="27"/>
      <c r="C210" s="27"/>
      <c r="D210" s="413"/>
      <c r="E210" s="414" t="s">
        <v>463</v>
      </c>
      <c r="F210" s="183"/>
      <c r="G210" s="183"/>
      <c r="H210" s="183"/>
      <c r="I210" s="183"/>
      <c r="J210" s="183"/>
      <c r="K210" s="403" t="s">
        <v>452</v>
      </c>
      <c r="L210" s="16"/>
      <c r="M210" s="114"/>
      <c r="N210" s="150"/>
      <c r="O210" s="35"/>
      <c r="P210" s="36"/>
      <c r="Q210" s="27"/>
    </row>
    <row r="211" hidden="1" outlineLevel="1">
      <c r="A211" s="27"/>
      <c r="B211" s="27"/>
      <c r="C211" s="27"/>
      <c r="D211" s="420" t="s">
        <v>479</v>
      </c>
      <c r="E211" s="35"/>
      <c r="F211" s="35"/>
      <c r="G211" s="35"/>
      <c r="H211" s="35"/>
      <c r="I211" s="35"/>
      <c r="J211" s="36"/>
      <c r="K211" s="403" t="s">
        <v>452</v>
      </c>
      <c r="L211" s="16"/>
      <c r="M211" s="114"/>
      <c r="N211" s="150"/>
      <c r="O211" s="35"/>
      <c r="P211" s="36"/>
      <c r="Q211" s="27"/>
    </row>
    <row r="212" hidden="1" outlineLevel="1">
      <c r="A212" s="27"/>
      <c r="B212" s="27"/>
      <c r="C212" s="27"/>
      <c r="D212" s="421" t="s">
        <v>465</v>
      </c>
      <c r="E212" s="183"/>
      <c r="F212" s="183"/>
      <c r="G212" s="184"/>
      <c r="H212" s="422"/>
      <c r="I212" s="422"/>
      <c r="J212" s="423" t="s">
        <v>466</v>
      </c>
      <c r="K212" s="424"/>
      <c r="L212" s="425"/>
      <c r="M212" s="114"/>
      <c r="N212" s="161"/>
      <c r="O212" s="35"/>
      <c r="P212" s="36"/>
      <c r="Q212" s="27"/>
    </row>
    <row r="213" hidden="1" outlineLevel="1">
      <c r="A213" s="27"/>
      <c r="B213" s="27"/>
      <c r="C213" s="27"/>
      <c r="D213" s="426"/>
      <c r="E213" s="427"/>
      <c r="F213" s="427"/>
      <c r="G213" s="427"/>
      <c r="H213" s="427"/>
      <c r="I213" s="427"/>
      <c r="J213" s="428" t="s">
        <v>467</v>
      </c>
      <c r="K213" s="424"/>
      <c r="L213" s="429"/>
      <c r="M213" s="114"/>
      <c r="N213" s="161"/>
      <c r="O213" s="35"/>
      <c r="P213" s="36"/>
      <c r="Q213" s="27"/>
    </row>
    <row r="214" hidden="1" outlineLevel="1">
      <c r="A214" s="27"/>
      <c r="B214" s="27"/>
      <c r="C214" s="27"/>
      <c r="D214" s="426"/>
      <c r="E214" s="427"/>
      <c r="F214" s="427"/>
      <c r="G214" s="427"/>
      <c r="H214" s="427"/>
      <c r="I214" s="427"/>
      <c r="J214" s="428" t="s">
        <v>468</v>
      </c>
      <c r="K214" s="424"/>
      <c r="L214" s="429"/>
      <c r="M214" s="114"/>
      <c r="N214" s="169"/>
      <c r="O214" s="35"/>
      <c r="P214" s="36"/>
      <c r="Q214" s="27"/>
    </row>
    <row r="215" hidden="1" outlineLevel="1">
      <c r="A215" s="27"/>
      <c r="B215" s="27"/>
      <c r="C215" s="27"/>
      <c r="D215" s="430"/>
      <c r="E215" s="431"/>
      <c r="F215" s="431"/>
      <c r="G215" s="431"/>
      <c r="H215" s="432"/>
      <c r="I215" s="432"/>
      <c r="J215" s="433" t="s">
        <v>469</v>
      </c>
      <c r="K215" s="424"/>
      <c r="L215" s="434"/>
      <c r="M215" s="114"/>
      <c r="N215" s="161"/>
      <c r="O215" s="35"/>
      <c r="P215" s="36"/>
      <c r="Q215" s="27"/>
    </row>
    <row r="216" hidden="1" outlineLevel="1">
      <c r="A216" s="27"/>
      <c r="B216" s="27"/>
      <c r="C216" s="27"/>
      <c r="D216" s="435" t="s">
        <v>480</v>
      </c>
      <c r="E216" s="35"/>
      <c r="F216" s="35"/>
      <c r="G216" s="35"/>
      <c r="H216" s="35"/>
      <c r="I216" s="35"/>
      <c r="J216" s="36"/>
      <c r="K216" s="403" t="s">
        <v>452</v>
      </c>
      <c r="L216" s="16"/>
      <c r="M216" s="114"/>
      <c r="N216" s="169"/>
      <c r="O216" s="35"/>
      <c r="P216" s="36"/>
      <c r="Q216" s="27"/>
    </row>
    <row r="217" hidden="1" outlineLevel="1">
      <c r="A217" s="27"/>
      <c r="B217" s="27"/>
      <c r="C217" s="27"/>
      <c r="D217" s="421" t="s">
        <v>465</v>
      </c>
      <c r="E217" s="183"/>
      <c r="F217" s="183"/>
      <c r="G217" s="184"/>
      <c r="H217" s="422"/>
      <c r="I217" s="422"/>
      <c r="J217" s="423" t="s">
        <v>466</v>
      </c>
      <c r="K217" s="424"/>
      <c r="L217" s="425"/>
      <c r="M217" s="114"/>
      <c r="N217" s="161"/>
      <c r="O217" s="35"/>
      <c r="P217" s="36"/>
      <c r="Q217" s="27"/>
    </row>
    <row r="218" hidden="1" outlineLevel="1">
      <c r="A218" s="27"/>
      <c r="B218" s="27"/>
      <c r="C218" s="27"/>
      <c r="D218" s="426"/>
      <c r="E218" s="427"/>
      <c r="F218" s="427"/>
      <c r="G218" s="427"/>
      <c r="H218" s="427"/>
      <c r="I218" s="427"/>
      <c r="J218" s="428" t="s">
        <v>467</v>
      </c>
      <c r="K218" s="424"/>
      <c r="L218" s="429"/>
      <c r="M218" s="114"/>
      <c r="N218" s="169"/>
      <c r="O218" s="35"/>
      <c r="P218" s="36"/>
      <c r="Q218" s="27"/>
    </row>
    <row r="219" hidden="1" outlineLevel="1">
      <c r="A219" s="27"/>
      <c r="B219" s="27"/>
      <c r="C219" s="27"/>
      <c r="D219" s="426"/>
      <c r="E219" s="427"/>
      <c r="F219" s="427"/>
      <c r="G219" s="427"/>
      <c r="H219" s="427"/>
      <c r="I219" s="427"/>
      <c r="J219" s="428" t="s">
        <v>468</v>
      </c>
      <c r="K219" s="424"/>
      <c r="L219" s="429"/>
      <c r="M219" s="114"/>
      <c r="N219" s="161"/>
      <c r="O219" s="35"/>
      <c r="P219" s="36"/>
      <c r="Q219" s="27"/>
    </row>
    <row r="220" hidden="1" outlineLevel="1">
      <c r="A220" s="27"/>
      <c r="B220" s="27"/>
      <c r="C220" s="27"/>
      <c r="D220" s="430"/>
      <c r="E220" s="431"/>
      <c r="F220" s="431"/>
      <c r="G220" s="431"/>
      <c r="H220" s="432"/>
      <c r="I220" s="432"/>
      <c r="J220" s="433" t="s">
        <v>469</v>
      </c>
      <c r="K220" s="424"/>
      <c r="L220" s="434"/>
      <c r="M220" s="114"/>
      <c r="N220" s="161"/>
      <c r="O220" s="35"/>
      <c r="P220" s="36"/>
      <c r="Q220" s="27"/>
    </row>
    <row r="221" hidden="1" outlineLevel="1">
      <c r="A221" s="27"/>
      <c r="B221" s="27"/>
      <c r="C221" s="27"/>
      <c r="D221" s="436" t="s">
        <v>471</v>
      </c>
      <c r="E221" s="10"/>
      <c r="F221" s="10"/>
      <c r="G221" s="10"/>
      <c r="H221" s="10"/>
      <c r="I221" s="10"/>
      <c r="J221" s="437"/>
      <c r="K221" s="438" t="s">
        <v>472</v>
      </c>
      <c r="L221" s="11"/>
      <c r="M221" s="114"/>
      <c r="N221" s="161"/>
      <c r="O221" s="35"/>
      <c r="P221" s="36"/>
      <c r="Q221" s="27"/>
    </row>
    <row r="222" collapsed="1">
      <c r="A222" s="146" t="s">
        <v>506</v>
      </c>
      <c r="B222" s="27"/>
      <c r="C222" s="58"/>
      <c r="D222" s="397" t="str">
        <f>'🤝 Client information'!C86</f>
        <v/>
      </c>
      <c r="E222" s="395"/>
      <c r="F222" s="395"/>
      <c r="G222" s="395"/>
      <c r="H222" s="398"/>
      <c r="I222" s="399"/>
      <c r="J222" s="400" t="s">
        <v>443</v>
      </c>
      <c r="K222" s="401">
        <f>IFERROR(
  (
    IF(K223="Shared with Skipr",1,IF(OR(K223="Got it (not shared yet)",K223="transfer confirmation received"),0.75,IF(OR(K223="Collecting",K223="3. info shared with finance colleague"),0.25,0)))
    +IF(K224="Shared with Skipr",1,IF(OR(K224="Got it (not shared yet)",K224="transfer confirmation received"),0.75,IF(OR(K224="Collecting",K224="3. info shared with finance colleague"),0.25,0)))
    +IF(K226="Shared with Skipr",1,IF(OR(K226="Got it (not shared yet)",K226="transfer confirmation received"),0.75,IF(OR(K226="Collecting",K226="3. info shared with finance colleague"),0.25,0)))
    +IF(K228="Shared with Skipr",1,IF(OR(K228="Got it (not shared yet)",K228="transfer confirmation received"),0.75,IF(OR(K228="Collecting",K228="3. info shared with finance colleague"),0.25,0)))
    +IF(K230="Shared with Skipr",1,IF(OR(K230="Got it (not shared yet)",K230="transfer confirmation received"),0.75,IF(OR(K230="Collecting",K230="3. info shared with finance colleague"),0.25,0)))
    +IF(K232="Shared with Skipr",1,IF(OR(K232="Got it (not shared yet)",K232="transfer confirmation received"),0.75,IF(OR(K232="Collecting",K232="3. info shared with finance colleague"),0.25,0)))
    +IF(K234="Shared with Skipr",1,IF(OR(K234="Got it (not shared yet)",K234="transfer confirmation received"),0.75,IF(OR(K234="Collecting",K234="3. info shared with finance colleague"),0.25,0)))
    +IF(K236="Shared with Skipr",1,IF(OR(K236="Got it (not shared yet)",K236="transfer confirmation received"),0.75,IF(OR(K236="Collecting",K236="3. info shared with finance colleague"),0.25,0)))
    +IF(K238="Shared with Skipr",1,IF(OR(K238="Got it (not shared yet)",K238="transfer confirmation received"),0.75,IF(OR(K238="Collecting",K238="info shared with finance colleague"),0.25,0)))
    +IF(K239="Shared with Skipr",1,IF(OR(K239="Got it (not shared yet)",K239="transfer confirmation received"),0.75,IF(OR(K239="Collecting",K239="3. info shared with finance colleague"),0.25,0)))
    +IF(K244="Shared with Skipr",1,IF(OR(K244="Got it (not shared yet)",K244="transfer confirmation received"),0.75,IF(OR(K244="Collecting",K244="3. info shared with finance colleague"),0.25,0)))
    +IF(K249="5. Skipr informed of Transfer",1,IF(OR(K249="Got it (not shared yet)",K249="transfer confirmation received"),0.75,IF(OR(K249="Collecting",K249="3. info shared with finance colleague"),0.25,0)))
  ) 
  /
  (
    COUNTIF(K223,"&lt;&gt;N/A")+COUNTIF(K224,"&lt;&gt;N/A")+COUNTIF(K226,"&lt;&gt;N/A")+COUNTIF(K228,"&lt;&gt;N/A")+COUNTIF(K230,"&lt;&gt;N/A")+COUNTIF(K232,"&lt;&gt;N/A")+COUNTIF(K234,"&lt;&gt;N/A")+COUNTIF(K236,"&lt;&gt;N/A")+COUNTIF(K238,"&lt;&gt;N/A")+COUNTIF(K239,"&lt;&gt;N/A")+COUNTIF(K244,"&lt;&gt;N/A")+COUNTIF(K249,"&lt;&gt;N/A")
  )
,0)</f>
        <v>0</v>
      </c>
      <c r="L222" s="395"/>
      <c r="M222" s="114"/>
      <c r="N222" s="161"/>
      <c r="O222" s="35"/>
      <c r="P222" s="36"/>
      <c r="Q222" s="27"/>
    </row>
    <row r="223" hidden="1" outlineLevel="1">
      <c r="A223" s="27"/>
      <c r="B223" s="27"/>
      <c r="C223" s="27"/>
      <c r="D223" s="402" t="s">
        <v>444</v>
      </c>
      <c r="E223" s="15"/>
      <c r="F223" s="15"/>
      <c r="G223" s="15"/>
      <c r="H223" s="15"/>
      <c r="I223" s="15"/>
      <c r="J223" s="16"/>
      <c r="K223" s="403" t="s">
        <v>452</v>
      </c>
      <c r="L223" s="16"/>
      <c r="M223" s="114"/>
      <c r="N223" s="161"/>
      <c r="O223" s="35"/>
      <c r="P223" s="36"/>
      <c r="Q223" s="27"/>
    </row>
    <row r="224" hidden="1" outlineLevel="1">
      <c r="A224" s="27"/>
      <c r="B224" s="27"/>
      <c r="C224" s="27"/>
      <c r="D224" s="405" t="s">
        <v>507</v>
      </c>
      <c r="E224" s="15"/>
      <c r="F224" s="15"/>
      <c r="G224" s="15"/>
      <c r="H224" s="15"/>
      <c r="I224" s="15"/>
      <c r="J224" s="16"/>
      <c r="K224" s="403" t="s">
        <v>452</v>
      </c>
      <c r="L224" s="16"/>
      <c r="M224" s="114"/>
      <c r="N224" s="161"/>
      <c r="O224" s="35"/>
      <c r="P224" s="36"/>
      <c r="Q224" s="27"/>
    </row>
    <row r="225" hidden="1" outlineLevel="1">
      <c r="A225" s="27"/>
      <c r="B225" s="27"/>
      <c r="C225" s="27"/>
      <c r="D225" s="407" t="s">
        <v>508</v>
      </c>
      <c r="E225" s="35"/>
      <c r="F225" s="35"/>
      <c r="G225" s="35"/>
      <c r="H225" s="35"/>
      <c r="I225" s="35"/>
      <c r="J225" s="36"/>
      <c r="K225" s="408"/>
      <c r="L225" s="36"/>
      <c r="M225" s="114"/>
      <c r="N225" s="161"/>
      <c r="O225" s="35"/>
      <c r="P225" s="36"/>
      <c r="Q225" s="27"/>
    </row>
    <row r="226" hidden="1" outlineLevel="1">
      <c r="A226" s="27"/>
      <c r="B226" s="27"/>
      <c r="C226" s="27"/>
      <c r="D226" s="402" t="s">
        <v>449</v>
      </c>
      <c r="E226" s="15"/>
      <c r="F226" s="15"/>
      <c r="G226" s="15"/>
      <c r="H226" s="15"/>
      <c r="I226" s="15"/>
      <c r="J226" s="16"/>
      <c r="K226" s="403" t="s">
        <v>452</v>
      </c>
      <c r="L226" s="16"/>
      <c r="M226" s="114"/>
      <c r="N226" s="161"/>
      <c r="O226" s="35"/>
      <c r="P226" s="36"/>
      <c r="Q226" s="27"/>
    </row>
    <row r="227" hidden="1" outlineLevel="1">
      <c r="A227" s="27"/>
      <c r="B227" s="27"/>
      <c r="C227" s="27"/>
      <c r="D227" s="409" t="s">
        <v>509</v>
      </c>
      <c r="E227" s="35"/>
      <c r="F227" s="35"/>
      <c r="G227" s="35"/>
      <c r="H227" s="35"/>
      <c r="I227" s="35"/>
      <c r="J227" s="36"/>
      <c r="K227" s="408"/>
      <c r="L227" s="36"/>
      <c r="M227" s="114"/>
      <c r="N227" s="161"/>
      <c r="O227" s="35"/>
      <c r="P227" s="36"/>
      <c r="Q227" s="27"/>
    </row>
    <row r="228" hidden="1" outlineLevel="1">
      <c r="A228" s="27"/>
      <c r="B228" s="27"/>
      <c r="C228" s="27"/>
      <c r="D228" s="410" t="s">
        <v>451</v>
      </c>
      <c r="E228" s="35"/>
      <c r="F228" s="35"/>
      <c r="G228" s="35"/>
      <c r="H228" s="35"/>
      <c r="I228" s="35"/>
      <c r="J228" s="36"/>
      <c r="K228" s="403" t="s">
        <v>452</v>
      </c>
      <c r="L228" s="16"/>
      <c r="M228" s="114"/>
      <c r="N228" s="161"/>
      <c r="O228" s="35"/>
      <c r="P228" s="36"/>
      <c r="Q228" s="27"/>
    </row>
    <row r="229" hidden="1" outlineLevel="1">
      <c r="A229" s="27"/>
      <c r="B229" s="27"/>
      <c r="C229" s="27"/>
      <c r="D229" s="409" t="s">
        <v>510</v>
      </c>
      <c r="E229" s="35"/>
      <c r="F229" s="35"/>
      <c r="G229" s="35"/>
      <c r="H229" s="35"/>
      <c r="I229" s="35"/>
      <c r="J229" s="36"/>
      <c r="K229" s="408"/>
      <c r="L229" s="36"/>
      <c r="M229" s="114"/>
      <c r="N229" s="161"/>
      <c r="O229" s="35"/>
      <c r="P229" s="36"/>
      <c r="Q229" s="27"/>
    </row>
    <row r="230" hidden="1" outlineLevel="1">
      <c r="A230" s="27"/>
      <c r="B230" s="27"/>
      <c r="C230" s="27"/>
      <c r="D230" s="405" t="s">
        <v>511</v>
      </c>
      <c r="E230" s="15"/>
      <c r="F230" s="15"/>
      <c r="G230" s="15"/>
      <c r="H230" s="15"/>
      <c r="I230" s="15"/>
      <c r="J230" s="16"/>
      <c r="K230" s="403" t="s">
        <v>452</v>
      </c>
      <c r="L230" s="16"/>
      <c r="M230" s="114"/>
      <c r="N230" s="161"/>
      <c r="O230" s="35"/>
      <c r="P230" s="36"/>
      <c r="Q230" s="27"/>
    </row>
    <row r="231" hidden="1" outlineLevel="1">
      <c r="A231" s="27"/>
      <c r="B231" s="27"/>
      <c r="C231" s="27"/>
      <c r="D231" s="411"/>
      <c r="E231" s="412" t="s">
        <v>455</v>
      </c>
      <c r="F231" s="35"/>
      <c r="G231" s="35"/>
      <c r="H231" s="35"/>
      <c r="I231" s="35"/>
      <c r="J231" s="36"/>
      <c r="K231" s="403"/>
      <c r="L231" s="16"/>
      <c r="M231" s="114"/>
      <c r="N231" s="161"/>
      <c r="O231" s="35"/>
      <c r="P231" s="36"/>
      <c r="Q231" s="27"/>
    </row>
    <row r="232" hidden="1" outlineLevel="1">
      <c r="A232" s="27"/>
      <c r="B232" s="27"/>
      <c r="C232" s="27"/>
      <c r="D232" s="413"/>
      <c r="E232" s="414" t="s">
        <v>456</v>
      </c>
      <c r="F232" s="183"/>
      <c r="G232" s="183"/>
      <c r="H232" s="183"/>
      <c r="I232" s="183"/>
      <c r="J232" s="183"/>
      <c r="K232" s="403" t="s">
        <v>452</v>
      </c>
      <c r="L232" s="16"/>
      <c r="M232" s="114"/>
      <c r="N232" s="161"/>
      <c r="O232" s="35"/>
      <c r="P232" s="36"/>
      <c r="Q232" s="27"/>
    </row>
    <row r="233" hidden="1" outlineLevel="1">
      <c r="A233" s="27"/>
      <c r="B233" s="27"/>
      <c r="C233" s="27"/>
      <c r="D233" s="415" t="s">
        <v>457</v>
      </c>
      <c r="E233" s="416" t="s">
        <v>458</v>
      </c>
      <c r="F233" s="195"/>
      <c r="G233" s="195"/>
      <c r="H233" s="195"/>
      <c r="I233" s="195"/>
      <c r="J233" s="195"/>
      <c r="K233" s="195"/>
      <c r="L233" s="417"/>
      <c r="M233" s="114"/>
      <c r="N233" s="161"/>
      <c r="O233" s="35"/>
      <c r="P233" s="36"/>
      <c r="Q233" s="27"/>
    </row>
    <row r="234" hidden="1" outlineLevel="1">
      <c r="A234" s="27"/>
      <c r="B234" s="27"/>
      <c r="C234" s="27"/>
      <c r="D234" s="418"/>
      <c r="E234" s="419" t="s">
        <v>493</v>
      </c>
      <c r="F234" s="195"/>
      <c r="G234" s="195"/>
      <c r="H234" s="195"/>
      <c r="I234" s="195"/>
      <c r="J234" s="417"/>
      <c r="K234" s="403" t="s">
        <v>452</v>
      </c>
      <c r="L234" s="16"/>
      <c r="M234" s="114"/>
      <c r="N234" s="161"/>
      <c r="O234" s="35"/>
      <c r="P234" s="36"/>
      <c r="Q234" s="27"/>
    </row>
    <row r="235" hidden="1" outlineLevel="1">
      <c r="A235" s="27"/>
      <c r="B235" s="27"/>
      <c r="C235" s="27"/>
      <c r="D235" s="411"/>
      <c r="E235" s="412" t="s">
        <v>460</v>
      </c>
      <c r="F235" s="35"/>
      <c r="G235" s="35"/>
      <c r="H235" s="35"/>
      <c r="I235" s="35"/>
      <c r="J235" s="36"/>
      <c r="K235" s="403"/>
      <c r="L235" s="16"/>
      <c r="M235" s="114"/>
      <c r="N235" s="161"/>
      <c r="O235" s="35"/>
      <c r="P235" s="36"/>
      <c r="Q235" s="27"/>
    </row>
    <row r="236" hidden="1" outlineLevel="1">
      <c r="A236" s="27"/>
      <c r="B236" s="27"/>
      <c r="C236" s="27"/>
      <c r="D236" s="413"/>
      <c r="E236" s="414" t="s">
        <v>461</v>
      </c>
      <c r="F236" s="183"/>
      <c r="G236" s="183"/>
      <c r="H236" s="183"/>
      <c r="I236" s="183"/>
      <c r="J236" s="183"/>
      <c r="K236" s="403" t="s">
        <v>452</v>
      </c>
      <c r="L236" s="16"/>
      <c r="M236" s="114"/>
      <c r="N236" s="161"/>
      <c r="O236" s="35"/>
      <c r="P236" s="36"/>
      <c r="Q236" s="27"/>
    </row>
    <row r="237" hidden="1" outlineLevel="1">
      <c r="A237" s="27"/>
      <c r="B237" s="27"/>
      <c r="C237" s="27"/>
      <c r="D237" s="411"/>
      <c r="E237" s="412" t="s">
        <v>462</v>
      </c>
      <c r="F237" s="35"/>
      <c r="G237" s="35"/>
      <c r="H237" s="35"/>
      <c r="I237" s="35"/>
      <c r="J237" s="36"/>
      <c r="K237" s="403"/>
      <c r="L237" s="16"/>
      <c r="M237" s="114"/>
      <c r="N237" s="161"/>
      <c r="O237" s="35"/>
      <c r="P237" s="36"/>
      <c r="Q237" s="27"/>
    </row>
    <row r="238" hidden="1" outlineLevel="1">
      <c r="A238" s="27"/>
      <c r="B238" s="27"/>
      <c r="C238" s="27"/>
      <c r="D238" s="413"/>
      <c r="E238" s="414" t="s">
        <v>463</v>
      </c>
      <c r="F238" s="183"/>
      <c r="G238" s="183"/>
      <c r="H238" s="183"/>
      <c r="I238" s="183"/>
      <c r="J238" s="183"/>
      <c r="K238" s="403" t="s">
        <v>452</v>
      </c>
      <c r="L238" s="16"/>
      <c r="M238" s="114"/>
      <c r="N238" s="161"/>
      <c r="O238" s="35"/>
      <c r="P238" s="36"/>
      <c r="Q238" s="27"/>
    </row>
    <row r="239" hidden="1" outlineLevel="1">
      <c r="A239" s="27"/>
      <c r="B239" s="27"/>
      <c r="C239" s="27"/>
      <c r="D239" s="420" t="s">
        <v>479</v>
      </c>
      <c r="E239" s="35"/>
      <c r="F239" s="35"/>
      <c r="G239" s="35"/>
      <c r="H239" s="35"/>
      <c r="I239" s="35"/>
      <c r="J239" s="36"/>
      <c r="K239" s="403" t="s">
        <v>452</v>
      </c>
      <c r="L239" s="16"/>
      <c r="M239" s="114"/>
      <c r="N239" s="161"/>
      <c r="O239" s="35"/>
      <c r="P239" s="36"/>
      <c r="Q239" s="27"/>
    </row>
    <row r="240" hidden="1" outlineLevel="1">
      <c r="A240" s="27"/>
      <c r="B240" s="27"/>
      <c r="C240" s="27"/>
      <c r="D240" s="421" t="s">
        <v>465</v>
      </c>
      <c r="E240" s="183"/>
      <c r="F240" s="183"/>
      <c r="G240" s="184"/>
      <c r="H240" s="422"/>
      <c r="I240" s="422"/>
      <c r="J240" s="423" t="s">
        <v>466</v>
      </c>
      <c r="K240" s="424"/>
      <c r="L240" s="425"/>
      <c r="M240" s="114"/>
      <c r="N240" s="150"/>
      <c r="O240" s="35"/>
      <c r="P240" s="36"/>
      <c r="Q240" s="27"/>
    </row>
    <row r="241" hidden="1" outlineLevel="1">
      <c r="A241" s="27"/>
      <c r="B241" s="27"/>
      <c r="C241" s="27"/>
      <c r="D241" s="426"/>
      <c r="E241" s="427"/>
      <c r="F241" s="427"/>
      <c r="G241" s="427"/>
      <c r="H241" s="427"/>
      <c r="I241" s="427"/>
      <c r="J241" s="428" t="s">
        <v>467</v>
      </c>
      <c r="K241" s="424"/>
      <c r="L241" s="429"/>
      <c r="M241" s="114"/>
      <c r="N241" s="150"/>
      <c r="O241" s="35"/>
      <c r="P241" s="36"/>
      <c r="Q241" s="27"/>
    </row>
    <row r="242" hidden="1" outlineLevel="1">
      <c r="A242" s="27"/>
      <c r="B242" s="27"/>
      <c r="C242" s="27"/>
      <c r="D242" s="426"/>
      <c r="E242" s="427"/>
      <c r="F242" s="427"/>
      <c r="G242" s="427"/>
      <c r="H242" s="427"/>
      <c r="I242" s="427"/>
      <c r="J242" s="428" t="s">
        <v>468</v>
      </c>
      <c r="K242" s="424"/>
      <c r="L242" s="429"/>
      <c r="M242" s="114"/>
      <c r="N242" s="150"/>
      <c r="O242" s="35"/>
      <c r="P242" s="36"/>
      <c r="Q242" s="27"/>
    </row>
    <row r="243" hidden="1" outlineLevel="1">
      <c r="A243" s="27"/>
      <c r="B243" s="27"/>
      <c r="C243" s="27"/>
      <c r="D243" s="430"/>
      <c r="E243" s="431"/>
      <c r="F243" s="431"/>
      <c r="G243" s="431"/>
      <c r="H243" s="432"/>
      <c r="I243" s="432"/>
      <c r="J243" s="433" t="s">
        <v>469</v>
      </c>
      <c r="K243" s="424"/>
      <c r="L243" s="434"/>
      <c r="M243" s="114"/>
      <c r="N243" s="161"/>
      <c r="O243" s="35"/>
      <c r="P243" s="36"/>
      <c r="Q243" s="27"/>
    </row>
    <row r="244" hidden="1" outlineLevel="1">
      <c r="A244" s="27"/>
      <c r="B244" s="27"/>
      <c r="C244" s="27"/>
      <c r="D244" s="435" t="s">
        <v>480</v>
      </c>
      <c r="E244" s="35"/>
      <c r="F244" s="35"/>
      <c r="G244" s="35"/>
      <c r="H244" s="35"/>
      <c r="I244" s="35"/>
      <c r="J244" s="36"/>
      <c r="K244" s="403" t="s">
        <v>452</v>
      </c>
      <c r="L244" s="16"/>
      <c r="M244" s="114"/>
      <c r="N244" s="161"/>
      <c r="O244" s="35"/>
      <c r="P244" s="36"/>
      <c r="Q244" s="27"/>
    </row>
    <row r="245" hidden="1" outlineLevel="1">
      <c r="A245" s="27"/>
      <c r="B245" s="27"/>
      <c r="C245" s="27"/>
      <c r="D245" s="421" t="s">
        <v>465</v>
      </c>
      <c r="E245" s="183"/>
      <c r="F245" s="183"/>
      <c r="G245" s="184"/>
      <c r="H245" s="422"/>
      <c r="I245" s="422"/>
      <c r="J245" s="423" t="s">
        <v>466</v>
      </c>
      <c r="K245" s="424"/>
      <c r="L245" s="425"/>
      <c r="M245" s="114"/>
      <c r="N245" s="169"/>
      <c r="O245" s="35"/>
      <c r="P245" s="36"/>
      <c r="Q245" s="27"/>
    </row>
    <row r="246" hidden="1" outlineLevel="1">
      <c r="A246" s="27"/>
      <c r="B246" s="27"/>
      <c r="C246" s="27"/>
      <c r="D246" s="426"/>
      <c r="E246" s="427"/>
      <c r="F246" s="427"/>
      <c r="G246" s="427"/>
      <c r="H246" s="427"/>
      <c r="I246" s="427"/>
      <c r="J246" s="428" t="s">
        <v>467</v>
      </c>
      <c r="K246" s="424"/>
      <c r="L246" s="429"/>
      <c r="M246" s="114"/>
      <c r="N246" s="161"/>
      <c r="O246" s="35"/>
      <c r="P246" s="36"/>
      <c r="Q246" s="27"/>
    </row>
    <row r="247" hidden="1" outlineLevel="1">
      <c r="A247" s="27"/>
      <c r="B247" s="27"/>
      <c r="C247" s="27"/>
      <c r="D247" s="426"/>
      <c r="E247" s="427"/>
      <c r="F247" s="427"/>
      <c r="G247" s="427"/>
      <c r="H247" s="427"/>
      <c r="I247" s="427"/>
      <c r="J247" s="428" t="s">
        <v>468</v>
      </c>
      <c r="K247" s="424"/>
      <c r="L247" s="429"/>
      <c r="M247" s="114"/>
      <c r="N247" s="169"/>
      <c r="O247" s="35"/>
      <c r="P247" s="36"/>
      <c r="Q247" s="27"/>
    </row>
    <row r="248" hidden="1" outlineLevel="1">
      <c r="A248" s="27"/>
      <c r="B248" s="27"/>
      <c r="C248" s="27"/>
      <c r="D248" s="430"/>
      <c r="E248" s="431"/>
      <c r="F248" s="431"/>
      <c r="G248" s="431"/>
      <c r="H248" s="432"/>
      <c r="I248" s="432"/>
      <c r="J248" s="433" t="s">
        <v>469</v>
      </c>
      <c r="K248" s="424"/>
      <c r="L248" s="434"/>
      <c r="M248" s="114"/>
      <c r="N248" s="161"/>
      <c r="O248" s="35"/>
      <c r="P248" s="36"/>
      <c r="Q248" s="27"/>
    </row>
    <row r="249" hidden="1" outlineLevel="1">
      <c r="A249" s="27"/>
      <c r="B249" s="27"/>
      <c r="C249" s="27"/>
      <c r="D249" s="436" t="s">
        <v>471</v>
      </c>
      <c r="E249" s="10"/>
      <c r="F249" s="10"/>
      <c r="G249" s="10"/>
      <c r="H249" s="10"/>
      <c r="I249" s="10"/>
      <c r="J249" s="437"/>
      <c r="K249" s="438" t="s">
        <v>472</v>
      </c>
      <c r="L249" s="11"/>
      <c r="M249" s="114"/>
      <c r="N249" s="169"/>
      <c r="O249" s="35"/>
      <c r="P249" s="36"/>
      <c r="Q249" s="27"/>
    </row>
    <row r="250" collapsed="1">
      <c r="A250" s="146" t="s">
        <v>512</v>
      </c>
      <c r="B250" s="27"/>
      <c r="C250" s="58"/>
      <c r="D250" s="397" t="str">
        <f>'🤝 Client information'!C87</f>
        <v/>
      </c>
      <c r="E250" s="395"/>
      <c r="F250" s="395"/>
      <c r="G250" s="395"/>
      <c r="H250" s="398"/>
      <c r="I250" s="399"/>
      <c r="J250" s="400" t="s">
        <v>443</v>
      </c>
      <c r="K250" s="401">
        <f>IFERROR(
  (
    IF(K251="Shared with Skipr",1,IF(OR(K251="Got it (not shared yet)",K251="transfer confirmation received"),0.75,IF(OR(K251="Collecting",K251="3. info shared with finance colleague"),0.25,0)))
    +IF(K252="Shared with Skipr",1,IF(OR(K252="Got it (not shared yet)",K252="transfer confirmation received"),0.75,IF(OR(K252="Collecting",K252="3. info shared with finance colleague"),0.25,0)))
    +IF(K254="Shared with Skipr",1,IF(OR(K254="Got it (not shared yet)",K254="transfer confirmation received"),0.75,IF(OR(K254="Collecting",K254="3. info shared with finance colleague"),0.25,0)))
    +IF(K256="Shared with Skipr",1,IF(OR(K256="Got it (not shared yet)",K256="transfer confirmation received"),0.75,IF(OR(K256="Collecting",K256="3. info shared with finance colleague"),0.25,0)))
    +IF(K258="Shared with Skipr",1,IF(OR(K258="Got it (not shared yet)",K258="transfer confirmation received"),0.75,IF(OR(K258="Collecting",K258="3. info shared with finance colleague"),0.25,0)))
    +IF(K260="Shared with Skipr",1,IF(OR(K260="Got it (not shared yet)",K260="transfer confirmation received"),0.75,IF(OR(K260="Collecting",K260="3. info shared with finance colleague"),0.25,0)))
    +IF(K262="Shared with Skipr",1,IF(OR(K262="Got it (not shared yet)",K262="transfer confirmation received"),0.75,IF(OR(K262="Collecting",K262="3. info shared with finance colleague"),0.25,0)))
    +IF(K264="Shared with Skipr",1,IF(OR(K264="Got it (not shared yet)",K264="transfer confirmation received"),0.75,IF(OR(K264="Collecting",K264="3. info shared with finance colleague"),0.25,0)))
    +IF(K266="Shared with Skipr",1,IF(OR(K266="Got it (not shared yet)",K266="transfer confirmation received"),0.75,IF(OR(K266="Collecting",K266="info shared with finance colleague"),0.25,0)))
    +IF(K267="Shared with Skipr",1,IF(OR(K267="Got it (not shared yet)",K267="transfer confirmation received"),0.75,IF(OR(K267="Collecting",K267="3. info shared with finance colleague"),0.25,0)))
    +IF(K272="Shared with Skipr",1,IF(OR(K272="Got it (not shared yet)",K272="transfer confirmation received"),0.75,IF(OR(K272="Collecting",K272="3. info shared with finance colleague"),0.25,0)))
    +IF(K277="5. Skipr informed of Transfer",1,IF(OR(K277="Got it (not shared yet)",K277="transfer confirmation received"),0.75,IF(OR(K277="Collecting",K277="3. info shared with finance colleague"),0.25,0)))
  ) 
  /
  (
    COUNTIF(K251,"&lt;&gt;N/A")+COUNTIF(K252,"&lt;&gt;N/A")+COUNTIF(K254,"&lt;&gt;N/A")+COUNTIF(K256,"&lt;&gt;N/A")+COUNTIF(K258,"&lt;&gt;N/A")+COUNTIF(K260,"&lt;&gt;N/A")+COUNTIF(K262,"&lt;&gt;N/A")+COUNTIF(K264,"&lt;&gt;N/A")+COUNTIF(K266,"&lt;&gt;N/A")+COUNTIF(K267,"&lt;&gt;N/A")+COUNTIF(K272,"&lt;&gt;N/A")+COUNTIF(K277,"&lt;&gt;N/A")
  )
,0)</f>
        <v>0</v>
      </c>
      <c r="L250" s="395"/>
      <c r="M250" s="114"/>
      <c r="N250" s="161"/>
      <c r="O250" s="35"/>
      <c r="P250" s="36"/>
      <c r="Q250" s="27"/>
    </row>
    <row r="251" hidden="1" outlineLevel="1">
      <c r="A251" s="27"/>
      <c r="B251" s="27"/>
      <c r="C251" s="27"/>
      <c r="D251" s="402" t="s">
        <v>444</v>
      </c>
      <c r="E251" s="15"/>
      <c r="F251" s="15"/>
      <c r="G251" s="15"/>
      <c r="H251" s="15"/>
      <c r="I251" s="15"/>
      <c r="J251" s="16"/>
      <c r="K251" s="403" t="s">
        <v>452</v>
      </c>
      <c r="L251" s="16"/>
      <c r="M251" s="114"/>
      <c r="N251" s="161"/>
      <c r="O251" s="35"/>
      <c r="P251" s="36"/>
      <c r="Q251" s="27"/>
    </row>
    <row r="252" hidden="1" outlineLevel="1">
      <c r="A252" s="27"/>
      <c r="B252" s="27"/>
      <c r="C252" s="27"/>
      <c r="D252" s="405" t="s">
        <v>513</v>
      </c>
      <c r="E252" s="15"/>
      <c r="F252" s="15"/>
      <c r="G252" s="15"/>
      <c r="H252" s="15"/>
      <c r="I252" s="15"/>
      <c r="J252" s="16"/>
      <c r="K252" s="403" t="s">
        <v>452</v>
      </c>
      <c r="L252" s="16"/>
      <c r="M252" s="114"/>
      <c r="N252" s="161"/>
      <c r="O252" s="35"/>
      <c r="P252" s="36"/>
      <c r="Q252" s="27"/>
    </row>
    <row r="253" hidden="1" outlineLevel="1">
      <c r="A253" s="27"/>
      <c r="B253" s="27"/>
      <c r="C253" s="27"/>
      <c r="D253" s="407" t="s">
        <v>514</v>
      </c>
      <c r="E253" s="35"/>
      <c r="F253" s="35"/>
      <c r="G253" s="35"/>
      <c r="H253" s="35"/>
      <c r="I253" s="35"/>
      <c r="J253" s="36"/>
      <c r="K253" s="408"/>
      <c r="L253" s="36"/>
      <c r="M253" s="114"/>
      <c r="N253" s="161"/>
      <c r="O253" s="35"/>
      <c r="P253" s="36"/>
      <c r="Q253" s="27"/>
    </row>
    <row r="254" hidden="1" outlineLevel="1">
      <c r="A254" s="27"/>
      <c r="B254" s="27"/>
      <c r="C254" s="27"/>
      <c r="D254" s="402" t="s">
        <v>449</v>
      </c>
      <c r="E254" s="15"/>
      <c r="F254" s="15"/>
      <c r="G254" s="15"/>
      <c r="H254" s="15"/>
      <c r="I254" s="15"/>
      <c r="J254" s="16"/>
      <c r="K254" s="403" t="s">
        <v>452</v>
      </c>
      <c r="L254" s="16"/>
      <c r="M254" s="114"/>
      <c r="N254" s="161"/>
      <c r="O254" s="35"/>
      <c r="P254" s="36"/>
      <c r="Q254" s="27"/>
    </row>
    <row r="255" hidden="1" outlineLevel="1">
      <c r="A255" s="27"/>
      <c r="B255" s="27"/>
      <c r="C255" s="27"/>
      <c r="D255" s="409" t="s">
        <v>515</v>
      </c>
      <c r="E255" s="35"/>
      <c r="F255" s="35"/>
      <c r="G255" s="35"/>
      <c r="H255" s="35"/>
      <c r="I255" s="35"/>
      <c r="J255" s="36"/>
      <c r="K255" s="408"/>
      <c r="L255" s="36"/>
      <c r="M255" s="114"/>
      <c r="N255" s="161"/>
      <c r="O255" s="35"/>
      <c r="P255" s="36"/>
      <c r="Q255" s="27"/>
    </row>
    <row r="256" hidden="1" outlineLevel="1">
      <c r="A256" s="27"/>
      <c r="B256" s="27"/>
      <c r="C256" s="27"/>
      <c r="D256" s="410" t="s">
        <v>451</v>
      </c>
      <c r="E256" s="35"/>
      <c r="F256" s="35"/>
      <c r="G256" s="35"/>
      <c r="H256" s="35"/>
      <c r="I256" s="35"/>
      <c r="J256" s="36"/>
      <c r="K256" s="403" t="s">
        <v>452</v>
      </c>
      <c r="L256" s="16"/>
      <c r="M256" s="114"/>
      <c r="N256" s="161"/>
      <c r="O256" s="35"/>
      <c r="P256" s="36"/>
      <c r="Q256" s="27"/>
    </row>
    <row r="257" hidden="1" outlineLevel="1">
      <c r="A257" s="27"/>
      <c r="B257" s="27"/>
      <c r="C257" s="27"/>
      <c r="D257" s="409" t="s">
        <v>516</v>
      </c>
      <c r="E257" s="35"/>
      <c r="F257" s="35"/>
      <c r="G257" s="35"/>
      <c r="H257" s="35"/>
      <c r="I257" s="35"/>
      <c r="J257" s="36"/>
      <c r="K257" s="408"/>
      <c r="L257" s="36"/>
      <c r="M257" s="114"/>
      <c r="N257" s="161"/>
      <c r="O257" s="35"/>
      <c r="P257" s="36"/>
      <c r="Q257" s="27"/>
    </row>
    <row r="258" hidden="1" outlineLevel="1">
      <c r="A258" s="27"/>
      <c r="B258" s="27"/>
      <c r="C258" s="27"/>
      <c r="D258" s="405" t="s">
        <v>517</v>
      </c>
      <c r="E258" s="15"/>
      <c r="F258" s="15"/>
      <c r="G258" s="15"/>
      <c r="H258" s="15"/>
      <c r="I258" s="15"/>
      <c r="J258" s="16"/>
      <c r="K258" s="403" t="s">
        <v>452</v>
      </c>
      <c r="L258" s="16"/>
      <c r="M258" s="114"/>
      <c r="N258" s="161"/>
      <c r="O258" s="35"/>
      <c r="P258" s="36"/>
      <c r="Q258" s="27"/>
    </row>
    <row r="259" hidden="1" outlineLevel="1">
      <c r="A259" s="27"/>
      <c r="B259" s="27"/>
      <c r="C259" s="27"/>
      <c r="D259" s="411"/>
      <c r="E259" s="412" t="s">
        <v>455</v>
      </c>
      <c r="F259" s="35"/>
      <c r="G259" s="35"/>
      <c r="H259" s="35"/>
      <c r="I259" s="35"/>
      <c r="J259" s="36"/>
      <c r="K259" s="403"/>
      <c r="L259" s="16"/>
      <c r="M259" s="114"/>
      <c r="N259" s="161"/>
      <c r="O259" s="35"/>
      <c r="P259" s="36"/>
      <c r="Q259" s="27"/>
    </row>
    <row r="260" hidden="1" outlineLevel="1">
      <c r="A260" s="27"/>
      <c r="B260" s="27"/>
      <c r="C260" s="27"/>
      <c r="D260" s="413"/>
      <c r="E260" s="414" t="s">
        <v>456</v>
      </c>
      <c r="F260" s="183"/>
      <c r="G260" s="183"/>
      <c r="H260" s="183"/>
      <c r="I260" s="183"/>
      <c r="J260" s="183"/>
      <c r="K260" s="403" t="s">
        <v>452</v>
      </c>
      <c r="L260" s="16"/>
      <c r="M260" s="114"/>
      <c r="N260" s="161"/>
      <c r="O260" s="35"/>
      <c r="P260" s="36"/>
      <c r="Q260" s="27"/>
    </row>
    <row r="261" hidden="1" outlineLevel="1">
      <c r="A261" s="27"/>
      <c r="B261" s="27"/>
      <c r="C261" s="27"/>
      <c r="D261" s="415" t="s">
        <v>457</v>
      </c>
      <c r="E261" s="416" t="s">
        <v>458</v>
      </c>
      <c r="F261" s="195"/>
      <c r="G261" s="195"/>
      <c r="H261" s="195"/>
      <c r="I261" s="195"/>
      <c r="J261" s="195"/>
      <c r="K261" s="195"/>
      <c r="L261" s="417"/>
      <c r="M261" s="114"/>
      <c r="N261" s="161"/>
      <c r="O261" s="35"/>
      <c r="P261" s="36"/>
      <c r="Q261" s="27"/>
    </row>
    <row r="262" hidden="1" outlineLevel="1">
      <c r="A262" s="27"/>
      <c r="B262" s="27"/>
      <c r="C262" s="27"/>
      <c r="D262" s="418"/>
      <c r="E262" s="419" t="s">
        <v>493</v>
      </c>
      <c r="F262" s="195"/>
      <c r="G262" s="195"/>
      <c r="H262" s="195"/>
      <c r="I262" s="195"/>
      <c r="J262" s="417"/>
      <c r="K262" s="403" t="s">
        <v>452</v>
      </c>
      <c r="L262" s="16"/>
      <c r="M262" s="114"/>
      <c r="N262" s="161"/>
      <c r="O262" s="35"/>
      <c r="P262" s="36"/>
      <c r="Q262" s="27"/>
    </row>
    <row r="263" hidden="1" outlineLevel="1">
      <c r="A263" s="27"/>
      <c r="B263" s="27"/>
      <c r="C263" s="27"/>
      <c r="D263" s="411"/>
      <c r="E263" s="412" t="s">
        <v>460</v>
      </c>
      <c r="F263" s="35"/>
      <c r="G263" s="35"/>
      <c r="H263" s="35"/>
      <c r="I263" s="35"/>
      <c r="J263" s="36"/>
      <c r="K263" s="403"/>
      <c r="L263" s="16"/>
      <c r="M263" s="114"/>
      <c r="N263" s="161"/>
      <c r="O263" s="35"/>
      <c r="P263" s="36"/>
      <c r="Q263" s="27"/>
    </row>
    <row r="264" hidden="1" outlineLevel="1">
      <c r="A264" s="27"/>
      <c r="B264" s="27"/>
      <c r="C264" s="27"/>
      <c r="D264" s="413"/>
      <c r="E264" s="414" t="s">
        <v>461</v>
      </c>
      <c r="F264" s="183"/>
      <c r="G264" s="183"/>
      <c r="H264" s="183"/>
      <c r="I264" s="183"/>
      <c r="J264" s="183"/>
      <c r="K264" s="403" t="s">
        <v>452</v>
      </c>
      <c r="L264" s="16"/>
      <c r="M264" s="114"/>
      <c r="N264" s="161"/>
      <c r="O264" s="35"/>
      <c r="P264" s="36"/>
      <c r="Q264" s="27"/>
    </row>
    <row r="265" hidden="1" outlineLevel="1">
      <c r="A265" s="27"/>
      <c r="B265" s="27"/>
      <c r="C265" s="27"/>
      <c r="D265" s="411"/>
      <c r="E265" s="412" t="s">
        <v>462</v>
      </c>
      <c r="F265" s="35"/>
      <c r="G265" s="35"/>
      <c r="H265" s="35"/>
      <c r="I265" s="35"/>
      <c r="J265" s="36"/>
      <c r="K265" s="403"/>
      <c r="L265" s="16"/>
      <c r="M265" s="114"/>
      <c r="N265" s="268"/>
      <c r="O265" s="35"/>
      <c r="P265" s="36"/>
      <c r="Q265" s="27"/>
    </row>
    <row r="266" hidden="1" outlineLevel="1">
      <c r="A266" s="27"/>
      <c r="B266" s="27"/>
      <c r="C266" s="27"/>
      <c r="D266" s="413"/>
      <c r="E266" s="414" t="s">
        <v>463</v>
      </c>
      <c r="F266" s="183"/>
      <c r="G266" s="183"/>
      <c r="H266" s="183"/>
      <c r="I266" s="183"/>
      <c r="J266" s="183"/>
      <c r="K266" s="403" t="s">
        <v>452</v>
      </c>
      <c r="L266" s="16"/>
      <c r="M266" s="114"/>
      <c r="N266" s="150"/>
      <c r="O266" s="35"/>
      <c r="P266" s="36"/>
      <c r="Q266" s="27"/>
    </row>
    <row r="267" hidden="1" outlineLevel="1">
      <c r="A267" s="27"/>
      <c r="B267" s="27"/>
      <c r="C267" s="27"/>
      <c r="D267" s="420" t="s">
        <v>479</v>
      </c>
      <c r="E267" s="35"/>
      <c r="F267" s="35"/>
      <c r="G267" s="35"/>
      <c r="H267" s="35"/>
      <c r="I267" s="35"/>
      <c r="J267" s="36"/>
      <c r="K267" s="403" t="s">
        <v>452</v>
      </c>
      <c r="L267" s="16"/>
      <c r="M267" s="114"/>
      <c r="N267" s="150"/>
      <c r="O267" s="35"/>
      <c r="P267" s="36"/>
      <c r="Q267" s="27"/>
    </row>
    <row r="268" hidden="1" outlineLevel="1">
      <c r="A268" s="27"/>
      <c r="B268" s="27"/>
      <c r="C268" s="27"/>
      <c r="D268" s="421" t="s">
        <v>465</v>
      </c>
      <c r="E268" s="183"/>
      <c r="F268" s="183"/>
      <c r="G268" s="184"/>
      <c r="H268" s="422"/>
      <c r="I268" s="422"/>
      <c r="J268" s="423" t="s">
        <v>466</v>
      </c>
      <c r="K268" s="424"/>
      <c r="L268" s="425"/>
      <c r="M268" s="114"/>
      <c r="N268" s="150"/>
      <c r="O268" s="35"/>
      <c r="P268" s="36"/>
      <c r="Q268" s="27"/>
    </row>
    <row r="269" hidden="1" outlineLevel="1">
      <c r="A269" s="27"/>
      <c r="B269" s="27"/>
      <c r="C269" s="27"/>
      <c r="D269" s="426"/>
      <c r="E269" s="427"/>
      <c r="F269" s="427"/>
      <c r="G269" s="427"/>
      <c r="H269" s="427"/>
      <c r="I269" s="427"/>
      <c r="J269" s="428" t="s">
        <v>467</v>
      </c>
      <c r="K269" s="424"/>
      <c r="L269" s="429"/>
      <c r="M269" s="114"/>
      <c r="N269" s="161"/>
      <c r="O269" s="35"/>
      <c r="P269" s="36"/>
      <c r="Q269" s="27"/>
    </row>
    <row r="270" hidden="1" outlineLevel="1">
      <c r="A270" s="27"/>
      <c r="B270" s="27"/>
      <c r="C270" s="27"/>
      <c r="D270" s="426"/>
      <c r="E270" s="427"/>
      <c r="F270" s="427"/>
      <c r="G270" s="427"/>
      <c r="H270" s="427"/>
      <c r="I270" s="427"/>
      <c r="J270" s="428" t="s">
        <v>468</v>
      </c>
      <c r="K270" s="424"/>
      <c r="L270" s="429"/>
      <c r="M270" s="114"/>
      <c r="N270" s="161"/>
      <c r="O270" s="35"/>
      <c r="P270" s="36"/>
      <c r="Q270" s="27"/>
    </row>
    <row r="271" hidden="1" outlineLevel="1">
      <c r="A271" s="27"/>
      <c r="B271" s="27"/>
      <c r="C271" s="27"/>
      <c r="D271" s="430"/>
      <c r="E271" s="431"/>
      <c r="F271" s="431"/>
      <c r="G271" s="431"/>
      <c r="H271" s="432"/>
      <c r="I271" s="432"/>
      <c r="J271" s="433" t="s">
        <v>469</v>
      </c>
      <c r="K271" s="424"/>
      <c r="L271" s="434"/>
      <c r="M271" s="114"/>
      <c r="N271" s="169"/>
      <c r="O271" s="35"/>
      <c r="P271" s="36"/>
      <c r="Q271" s="27"/>
    </row>
    <row r="272" hidden="1" outlineLevel="1">
      <c r="A272" s="27"/>
      <c r="B272" s="27"/>
      <c r="C272" s="27"/>
      <c r="D272" s="435" t="s">
        <v>480</v>
      </c>
      <c r="E272" s="35"/>
      <c r="F272" s="35"/>
      <c r="G272" s="35"/>
      <c r="H272" s="35"/>
      <c r="I272" s="35"/>
      <c r="J272" s="36"/>
      <c r="K272" s="403" t="s">
        <v>452</v>
      </c>
      <c r="L272" s="16"/>
      <c r="M272" s="114"/>
      <c r="N272" s="161"/>
      <c r="O272" s="35"/>
      <c r="P272" s="36"/>
      <c r="Q272" s="27"/>
    </row>
    <row r="273" hidden="1" outlineLevel="1">
      <c r="A273" s="27"/>
      <c r="B273" s="27"/>
      <c r="C273" s="27"/>
      <c r="D273" s="421" t="s">
        <v>465</v>
      </c>
      <c r="E273" s="183"/>
      <c r="F273" s="183"/>
      <c r="G273" s="184"/>
      <c r="H273" s="422"/>
      <c r="I273" s="422"/>
      <c r="J273" s="423" t="s">
        <v>466</v>
      </c>
      <c r="K273" s="424"/>
      <c r="L273" s="425"/>
      <c r="M273" s="114"/>
      <c r="N273" s="169"/>
      <c r="O273" s="35"/>
      <c r="P273" s="36"/>
      <c r="Q273" s="27"/>
    </row>
    <row r="274" hidden="1" outlineLevel="1">
      <c r="A274" s="27"/>
      <c r="B274" s="27"/>
      <c r="C274" s="27"/>
      <c r="D274" s="426"/>
      <c r="E274" s="427"/>
      <c r="F274" s="427"/>
      <c r="G274" s="427"/>
      <c r="H274" s="427"/>
      <c r="I274" s="427"/>
      <c r="J274" s="428" t="s">
        <v>467</v>
      </c>
      <c r="K274" s="424"/>
      <c r="L274" s="429"/>
      <c r="M274" s="114"/>
      <c r="N274" s="161"/>
      <c r="O274" s="35"/>
      <c r="P274" s="36"/>
      <c r="Q274" s="27"/>
    </row>
    <row r="275" hidden="1" outlineLevel="1">
      <c r="A275" s="27"/>
      <c r="B275" s="27"/>
      <c r="C275" s="27"/>
      <c r="D275" s="426"/>
      <c r="E275" s="427"/>
      <c r="F275" s="427"/>
      <c r="G275" s="427"/>
      <c r="H275" s="427"/>
      <c r="I275" s="427"/>
      <c r="J275" s="428" t="s">
        <v>468</v>
      </c>
      <c r="K275" s="424"/>
      <c r="L275" s="429"/>
      <c r="M275" s="114"/>
      <c r="N275" s="169"/>
      <c r="O275" s="35"/>
      <c r="P275" s="36"/>
      <c r="Q275" s="27"/>
    </row>
    <row r="276" hidden="1" outlineLevel="1">
      <c r="A276" s="27"/>
      <c r="B276" s="27"/>
      <c r="C276" s="27"/>
      <c r="D276" s="430"/>
      <c r="E276" s="431"/>
      <c r="F276" s="431"/>
      <c r="G276" s="431"/>
      <c r="H276" s="432"/>
      <c r="I276" s="432"/>
      <c r="J276" s="433" t="s">
        <v>469</v>
      </c>
      <c r="K276" s="424"/>
      <c r="L276" s="434"/>
      <c r="M276" s="114"/>
      <c r="N276" s="161"/>
      <c r="O276" s="35"/>
      <c r="P276" s="36"/>
      <c r="Q276" s="27"/>
    </row>
    <row r="277" hidden="1" outlineLevel="1">
      <c r="A277" s="27"/>
      <c r="B277" s="27"/>
      <c r="C277" s="27"/>
      <c r="D277" s="436" t="s">
        <v>471</v>
      </c>
      <c r="E277" s="10"/>
      <c r="F277" s="10"/>
      <c r="G277" s="10"/>
      <c r="H277" s="10"/>
      <c r="I277" s="10"/>
      <c r="J277" s="437"/>
      <c r="K277" s="438" t="s">
        <v>472</v>
      </c>
      <c r="L277" s="11"/>
      <c r="M277" s="114"/>
      <c r="N277" s="161"/>
      <c r="O277" s="35"/>
      <c r="P277" s="36"/>
      <c r="Q277" s="27"/>
    </row>
    <row r="278" collapsed="1">
      <c r="A278" s="146" t="s">
        <v>518</v>
      </c>
      <c r="B278" s="27"/>
      <c r="C278" s="58"/>
      <c r="D278" s="397" t="str">
        <f>'🤝 Client information'!C88</f>
        <v/>
      </c>
      <c r="E278" s="395"/>
      <c r="F278" s="395"/>
      <c r="G278" s="395"/>
      <c r="H278" s="398"/>
      <c r="I278" s="399"/>
      <c r="J278" s="400" t="s">
        <v>443</v>
      </c>
      <c r="K278" s="401">
        <f>IFERROR(
  (
    IF(K279="Shared with Skipr",1,IF(OR(K279="Got it (not shared yet)",K279="transfer confirmation received"),0.75,IF(OR(K279="Collecting",K279="3. info shared with finance colleague"),0.25,0)))
    +IF(K280="Shared with Skipr",1,IF(OR(K280="Got it (not shared yet)",K280="transfer confirmation received"),0.75,IF(OR(K280="Collecting",K280="3. info shared with finance colleague"),0.25,0)))
    +IF(K282="Shared with Skipr",1,IF(OR(K282="Got it (not shared yet)",K282="transfer confirmation received"),0.75,IF(OR(K282="Collecting",K282="3. info shared with finance colleague"),0.25,0)))
    +IF(K284="Shared with Skipr",1,IF(OR(K284="Got it (not shared yet)",K284="transfer confirmation received"),0.75,IF(OR(K284="Collecting",K284="3. info shared with finance colleague"),0.25,0)))
    +IF(K286="Shared with Skipr",1,IF(OR(K286="Got it (not shared yet)",K286="transfer confirmation received"),0.75,IF(OR(K286="Collecting",K286="3. info shared with finance colleague"),0.25,0)))
    +IF(K288="Shared with Skipr",1,IF(OR(K288="Got it (not shared yet)",K288="transfer confirmation received"),0.75,IF(OR(K288="Collecting",K288="3. info shared with finance colleague"),0.25,0)))
    +IF(K290="Shared with Skipr",1,IF(OR(K290="Got it (not shared yet)",K290="transfer confirmation received"),0.75,IF(OR(K290="Collecting",K290="3. info shared with finance colleague"),0.25,0)))
    +IF(K292="Shared with Skipr",1,IF(OR(K292="Got it (not shared yet)",K292="transfer confirmation received"),0.75,IF(OR(K292="Collecting",K292="3. info shared with finance colleague"),0.25,0)))
    +IF(K294="Shared with Skipr",1,IF(OR(K294="Got it (not shared yet)",K294="transfer confirmation received"),0.75,IF(OR(K294="Collecting",K294="info shared with finance colleague"),0.25,0)))
    +IF(K295="Shared with Skipr",1,IF(OR(K295="Got it (not shared yet)",K295="transfer confirmation received"),0.75,IF(OR(K295="Collecting",K295="3. info shared with finance colleague"),0.25,0)))
    +IF(K300="Shared with Skipr",1,IF(OR(K300="Got it (not shared yet)",K300="transfer confirmation received"),0.75,IF(OR(K300="Collecting",K300="3. info shared with finance colleague"),0.25,0)))
    +IF(K305="5. Skipr informed of Transfer",1,IF(OR(K305="Got it (not shared yet)",K305="transfer confirmation received"),0.75,IF(OR(K305="Collecting",K305="3. info shared with finance colleague"),0.25,0)))
  ) 
  /
  (
    COUNTIF(K279,"&lt;&gt;N/A")+COUNTIF(K280,"&lt;&gt;N/A")+COUNTIF(K282,"&lt;&gt;N/A")+COUNTIF(K284,"&lt;&gt;N/A")+COUNTIF(K286,"&lt;&gt;N/A")+COUNTIF(K288,"&lt;&gt;N/A")+COUNTIF(K290,"&lt;&gt;N/A")+COUNTIF(K292,"&lt;&gt;N/A")+COUNTIF(K294,"&lt;&gt;N/A")+COUNTIF(K295,"&lt;&gt;N/A")+COUNTIF(K300,"&lt;&gt;N/A")+COUNTIF(K305,"&lt;&gt;N/A")
  )
,0)</f>
        <v>0</v>
      </c>
      <c r="L278" s="395"/>
      <c r="M278" s="114"/>
      <c r="N278" s="161"/>
      <c r="O278" s="35"/>
      <c r="P278" s="36"/>
      <c r="Q278" s="27"/>
    </row>
    <row r="279" hidden="1" outlineLevel="1">
      <c r="A279" s="27"/>
      <c r="B279" s="27"/>
      <c r="C279" s="27"/>
      <c r="D279" s="402" t="s">
        <v>444</v>
      </c>
      <c r="E279" s="15"/>
      <c r="F279" s="15"/>
      <c r="G279" s="15"/>
      <c r="H279" s="15"/>
      <c r="I279" s="15"/>
      <c r="J279" s="16"/>
      <c r="K279" s="403" t="s">
        <v>452</v>
      </c>
      <c r="L279" s="16"/>
      <c r="M279" s="114"/>
      <c r="N279" s="161"/>
      <c r="O279" s="35"/>
      <c r="P279" s="36"/>
      <c r="Q279" s="27"/>
    </row>
    <row r="280" hidden="1" outlineLevel="1">
      <c r="A280" s="27"/>
      <c r="B280" s="27"/>
      <c r="C280" s="27"/>
      <c r="D280" s="405" t="s">
        <v>519</v>
      </c>
      <c r="E280" s="15"/>
      <c r="F280" s="15"/>
      <c r="G280" s="15"/>
      <c r="H280" s="15"/>
      <c r="I280" s="15"/>
      <c r="J280" s="16"/>
      <c r="K280" s="403" t="s">
        <v>452</v>
      </c>
      <c r="L280" s="16"/>
      <c r="M280" s="114"/>
      <c r="N280" s="161"/>
      <c r="O280" s="35"/>
      <c r="P280" s="36"/>
      <c r="Q280" s="27"/>
    </row>
    <row r="281" hidden="1" outlineLevel="1">
      <c r="A281" s="27"/>
      <c r="B281" s="27"/>
      <c r="C281" s="27"/>
      <c r="D281" s="407" t="s">
        <v>520</v>
      </c>
      <c r="E281" s="35"/>
      <c r="F281" s="35"/>
      <c r="G281" s="35"/>
      <c r="H281" s="35"/>
      <c r="I281" s="35"/>
      <c r="J281" s="36"/>
      <c r="K281" s="408"/>
      <c r="L281" s="36"/>
      <c r="M281" s="114"/>
      <c r="N281" s="161"/>
      <c r="O281" s="35"/>
      <c r="P281" s="36"/>
      <c r="Q281" s="27"/>
    </row>
    <row r="282" hidden="1" outlineLevel="1">
      <c r="A282" s="27"/>
      <c r="B282" s="27"/>
      <c r="C282" s="27"/>
      <c r="D282" s="402" t="s">
        <v>449</v>
      </c>
      <c r="E282" s="15"/>
      <c r="F282" s="15"/>
      <c r="G282" s="15"/>
      <c r="H282" s="15"/>
      <c r="I282" s="15"/>
      <c r="J282" s="16"/>
      <c r="K282" s="403" t="s">
        <v>452</v>
      </c>
      <c r="L282" s="16"/>
      <c r="M282" s="114"/>
      <c r="N282" s="161"/>
      <c r="O282" s="35"/>
      <c r="P282" s="36"/>
      <c r="Q282" s="27"/>
    </row>
    <row r="283" hidden="1" outlineLevel="1">
      <c r="A283" s="27"/>
      <c r="B283" s="27"/>
      <c r="C283" s="27"/>
      <c r="D283" s="409" t="s">
        <v>521</v>
      </c>
      <c r="E283" s="35"/>
      <c r="F283" s="35"/>
      <c r="G283" s="35"/>
      <c r="H283" s="35"/>
      <c r="I283" s="35"/>
      <c r="J283" s="36"/>
      <c r="K283" s="408"/>
      <c r="L283" s="36"/>
      <c r="M283" s="114"/>
      <c r="N283" s="161"/>
      <c r="O283" s="35"/>
      <c r="P283" s="36"/>
      <c r="Q283" s="27"/>
    </row>
    <row r="284" hidden="1" outlineLevel="1">
      <c r="A284" s="27"/>
      <c r="B284" s="27"/>
      <c r="C284" s="27"/>
      <c r="D284" s="410" t="s">
        <v>451</v>
      </c>
      <c r="E284" s="35"/>
      <c r="F284" s="35"/>
      <c r="G284" s="35"/>
      <c r="H284" s="35"/>
      <c r="I284" s="35"/>
      <c r="J284" s="36"/>
      <c r="K284" s="403" t="s">
        <v>452</v>
      </c>
      <c r="L284" s="16"/>
      <c r="M284" s="114"/>
      <c r="N284" s="161"/>
      <c r="O284" s="35"/>
      <c r="P284" s="36"/>
      <c r="Q284" s="27"/>
    </row>
    <row r="285" hidden="1" outlineLevel="1">
      <c r="A285" s="27"/>
      <c r="B285" s="27"/>
      <c r="C285" s="27"/>
      <c r="D285" s="409" t="s">
        <v>522</v>
      </c>
      <c r="E285" s="35"/>
      <c r="F285" s="35"/>
      <c r="G285" s="35"/>
      <c r="H285" s="35"/>
      <c r="I285" s="35"/>
      <c r="J285" s="36"/>
      <c r="K285" s="408"/>
      <c r="L285" s="36"/>
      <c r="M285" s="114"/>
      <c r="N285" s="161"/>
      <c r="O285" s="35"/>
      <c r="P285" s="36"/>
      <c r="Q285" s="27"/>
    </row>
    <row r="286" hidden="1" outlineLevel="1">
      <c r="A286" s="27"/>
      <c r="B286" s="27"/>
      <c r="C286" s="27"/>
      <c r="D286" s="405" t="s">
        <v>523</v>
      </c>
      <c r="E286" s="15"/>
      <c r="F286" s="15"/>
      <c r="G286" s="15"/>
      <c r="H286" s="15"/>
      <c r="I286" s="15"/>
      <c r="J286" s="16"/>
      <c r="K286" s="403" t="s">
        <v>452</v>
      </c>
      <c r="L286" s="16"/>
      <c r="M286" s="114"/>
      <c r="N286" s="161"/>
      <c r="O286" s="35"/>
      <c r="P286" s="36"/>
      <c r="Q286" s="27"/>
    </row>
    <row r="287" hidden="1" outlineLevel="1">
      <c r="A287" s="27"/>
      <c r="B287" s="27"/>
      <c r="C287" s="27"/>
      <c r="D287" s="411"/>
      <c r="E287" s="412" t="s">
        <v>455</v>
      </c>
      <c r="F287" s="35"/>
      <c r="G287" s="35"/>
      <c r="H287" s="35"/>
      <c r="I287" s="35"/>
      <c r="J287" s="36"/>
      <c r="K287" s="403"/>
      <c r="L287" s="16"/>
      <c r="M287" s="114"/>
      <c r="N287" s="161"/>
      <c r="O287" s="35"/>
      <c r="P287" s="36"/>
      <c r="Q287" s="27"/>
    </row>
    <row r="288" hidden="1" outlineLevel="1">
      <c r="A288" s="27"/>
      <c r="B288" s="27"/>
      <c r="C288" s="27"/>
      <c r="D288" s="413"/>
      <c r="E288" s="414" t="s">
        <v>456</v>
      </c>
      <c r="F288" s="183"/>
      <c r="G288" s="183"/>
      <c r="H288" s="183"/>
      <c r="I288" s="183"/>
      <c r="J288" s="183"/>
      <c r="K288" s="403" t="s">
        <v>452</v>
      </c>
      <c r="L288" s="16"/>
      <c r="M288" s="114"/>
      <c r="N288" s="161"/>
      <c r="O288" s="35"/>
      <c r="P288" s="36"/>
      <c r="Q288" s="27"/>
    </row>
    <row r="289" hidden="1" outlineLevel="1">
      <c r="A289" s="27"/>
      <c r="B289" s="27"/>
      <c r="C289" s="27"/>
      <c r="D289" s="415" t="s">
        <v>457</v>
      </c>
      <c r="E289" s="416" t="s">
        <v>458</v>
      </c>
      <c r="F289" s="195"/>
      <c r="G289" s="195"/>
      <c r="H289" s="195"/>
      <c r="I289" s="195"/>
      <c r="J289" s="195"/>
      <c r="K289" s="195"/>
      <c r="L289" s="417"/>
      <c r="M289" s="114"/>
      <c r="N289" s="161"/>
      <c r="O289" s="35"/>
      <c r="P289" s="36"/>
      <c r="Q289" s="27"/>
    </row>
    <row r="290" hidden="1" outlineLevel="1">
      <c r="A290" s="27"/>
      <c r="B290" s="27"/>
      <c r="C290" s="27"/>
      <c r="D290" s="418"/>
      <c r="E290" s="419" t="s">
        <v>493</v>
      </c>
      <c r="F290" s="195"/>
      <c r="G290" s="195"/>
      <c r="H290" s="195"/>
      <c r="I290" s="195"/>
      <c r="J290" s="417"/>
      <c r="K290" s="403" t="s">
        <v>452</v>
      </c>
      <c r="L290" s="16"/>
      <c r="M290" s="114"/>
      <c r="N290" s="161"/>
      <c r="O290" s="35"/>
      <c r="P290" s="36"/>
      <c r="Q290" s="27"/>
    </row>
    <row r="291" hidden="1" outlineLevel="1">
      <c r="A291" s="27"/>
      <c r="B291" s="27"/>
      <c r="C291" s="27"/>
      <c r="D291" s="411"/>
      <c r="E291" s="412" t="s">
        <v>460</v>
      </c>
      <c r="F291" s="35"/>
      <c r="G291" s="35"/>
      <c r="H291" s="35"/>
      <c r="I291" s="35"/>
      <c r="J291" s="36"/>
      <c r="K291" s="403"/>
      <c r="L291" s="16"/>
      <c r="M291" s="114"/>
      <c r="N291" s="150"/>
      <c r="O291" s="35"/>
      <c r="P291" s="36"/>
      <c r="Q291" s="27"/>
    </row>
    <row r="292" hidden="1" outlineLevel="1">
      <c r="A292" s="27"/>
      <c r="B292" s="27"/>
      <c r="C292" s="27"/>
      <c r="D292" s="413"/>
      <c r="E292" s="414" t="s">
        <v>461</v>
      </c>
      <c r="F292" s="183"/>
      <c r="G292" s="183"/>
      <c r="H292" s="183"/>
      <c r="I292" s="183"/>
      <c r="J292" s="183"/>
      <c r="K292" s="403" t="s">
        <v>452</v>
      </c>
      <c r="L292" s="16"/>
      <c r="M292" s="114"/>
      <c r="N292" s="150"/>
      <c r="O292" s="35"/>
      <c r="P292" s="36"/>
      <c r="Q292" s="27"/>
    </row>
    <row r="293" hidden="1" outlineLevel="1">
      <c r="A293" s="27"/>
      <c r="B293" s="27"/>
      <c r="C293" s="27"/>
      <c r="D293" s="411"/>
      <c r="E293" s="412" t="s">
        <v>462</v>
      </c>
      <c r="F293" s="35"/>
      <c r="G293" s="35"/>
      <c r="H293" s="35"/>
      <c r="I293" s="35"/>
      <c r="J293" s="36"/>
      <c r="K293" s="403"/>
      <c r="L293" s="16"/>
      <c r="M293" s="114"/>
      <c r="N293" s="150"/>
      <c r="O293" s="35"/>
      <c r="P293" s="36"/>
      <c r="Q293" s="27"/>
    </row>
    <row r="294" hidden="1" outlineLevel="1">
      <c r="A294" s="27"/>
      <c r="B294" s="27"/>
      <c r="C294" s="27"/>
      <c r="D294" s="413"/>
      <c r="E294" s="414" t="s">
        <v>463</v>
      </c>
      <c r="F294" s="183"/>
      <c r="G294" s="183"/>
      <c r="H294" s="183"/>
      <c r="I294" s="183"/>
      <c r="J294" s="183"/>
      <c r="K294" s="403" t="s">
        <v>452</v>
      </c>
      <c r="L294" s="16"/>
      <c r="M294" s="114"/>
      <c r="N294" s="150"/>
      <c r="O294" s="35"/>
      <c r="P294" s="36"/>
      <c r="Q294" s="27"/>
    </row>
    <row r="295" hidden="1" outlineLevel="1">
      <c r="A295" s="27"/>
      <c r="B295" s="27"/>
      <c r="C295" s="27"/>
      <c r="D295" s="420" t="s">
        <v>479</v>
      </c>
      <c r="E295" s="35"/>
      <c r="F295" s="35"/>
      <c r="G295" s="35"/>
      <c r="H295" s="35"/>
      <c r="I295" s="35"/>
      <c r="J295" s="36"/>
      <c r="K295" s="403" t="s">
        <v>452</v>
      </c>
      <c r="L295" s="16"/>
      <c r="M295" s="114"/>
      <c r="N295" s="150"/>
      <c r="O295" s="35"/>
      <c r="P295" s="36"/>
      <c r="Q295" s="27"/>
    </row>
    <row r="296" hidden="1" outlineLevel="1">
      <c r="A296" s="27"/>
      <c r="B296" s="27"/>
      <c r="C296" s="27"/>
      <c r="D296" s="421" t="s">
        <v>465</v>
      </c>
      <c r="E296" s="183"/>
      <c r="F296" s="183"/>
      <c r="G296" s="184"/>
      <c r="H296" s="422"/>
      <c r="I296" s="422"/>
      <c r="J296" s="423" t="s">
        <v>466</v>
      </c>
      <c r="K296" s="424"/>
      <c r="L296" s="425"/>
      <c r="M296" s="114"/>
      <c r="N296" s="150"/>
      <c r="O296" s="35"/>
      <c r="P296" s="36"/>
      <c r="Q296" s="27"/>
    </row>
    <row r="297" hidden="1" outlineLevel="1">
      <c r="A297" s="27"/>
      <c r="B297" s="27"/>
      <c r="C297" s="27"/>
      <c r="D297" s="426"/>
      <c r="E297" s="427"/>
      <c r="F297" s="427"/>
      <c r="G297" s="427"/>
      <c r="H297" s="427"/>
      <c r="I297" s="427"/>
      <c r="J297" s="428" t="s">
        <v>467</v>
      </c>
      <c r="K297" s="424"/>
      <c r="L297" s="429"/>
      <c r="M297" s="114"/>
      <c r="N297" s="150"/>
      <c r="O297" s="35"/>
      <c r="P297" s="36"/>
      <c r="Q297" s="27"/>
    </row>
    <row r="298" hidden="1" outlineLevel="1">
      <c r="A298" s="27"/>
      <c r="B298" s="27"/>
      <c r="C298" s="27"/>
      <c r="D298" s="426"/>
      <c r="E298" s="427"/>
      <c r="F298" s="427"/>
      <c r="G298" s="427"/>
      <c r="H298" s="427"/>
      <c r="I298" s="427"/>
      <c r="J298" s="428" t="s">
        <v>468</v>
      </c>
      <c r="K298" s="424"/>
      <c r="L298" s="429"/>
      <c r="M298" s="114"/>
      <c r="N298" s="161"/>
      <c r="O298" s="35"/>
      <c r="P298" s="36"/>
      <c r="Q298" s="27"/>
    </row>
    <row r="299" hidden="1" outlineLevel="1">
      <c r="A299" s="27"/>
      <c r="B299" s="27"/>
      <c r="C299" s="27"/>
      <c r="D299" s="430"/>
      <c r="E299" s="431"/>
      <c r="F299" s="431"/>
      <c r="G299" s="431"/>
      <c r="H299" s="432"/>
      <c r="I299" s="432"/>
      <c r="J299" s="433" t="s">
        <v>469</v>
      </c>
      <c r="K299" s="424"/>
      <c r="L299" s="434"/>
      <c r="M299" s="114"/>
      <c r="N299" s="161"/>
      <c r="O299" s="35"/>
      <c r="P299" s="36"/>
      <c r="Q299" s="27"/>
    </row>
    <row r="300" hidden="1" outlineLevel="1">
      <c r="A300" s="27"/>
      <c r="B300" s="27"/>
      <c r="C300" s="27"/>
      <c r="D300" s="435" t="s">
        <v>480</v>
      </c>
      <c r="E300" s="35"/>
      <c r="F300" s="35"/>
      <c r="G300" s="35"/>
      <c r="H300" s="35"/>
      <c r="I300" s="35"/>
      <c r="J300" s="36"/>
      <c r="K300" s="403" t="s">
        <v>452</v>
      </c>
      <c r="L300" s="16"/>
      <c r="M300" s="114"/>
      <c r="N300" s="169"/>
      <c r="O300" s="35"/>
      <c r="P300" s="36"/>
      <c r="Q300" s="27"/>
    </row>
    <row r="301" hidden="1" outlineLevel="1">
      <c r="A301" s="27"/>
      <c r="B301" s="27"/>
      <c r="C301" s="27"/>
      <c r="D301" s="421" t="s">
        <v>465</v>
      </c>
      <c r="E301" s="183"/>
      <c r="F301" s="183"/>
      <c r="G301" s="184"/>
      <c r="H301" s="422"/>
      <c r="I301" s="422"/>
      <c r="J301" s="423" t="s">
        <v>466</v>
      </c>
      <c r="K301" s="424"/>
      <c r="L301" s="425"/>
      <c r="M301" s="114"/>
      <c r="N301" s="161"/>
      <c r="O301" s="35"/>
      <c r="P301" s="36"/>
      <c r="Q301" s="27"/>
    </row>
    <row r="302" hidden="1" outlineLevel="1">
      <c r="A302" s="27"/>
      <c r="B302" s="27"/>
      <c r="C302" s="27"/>
      <c r="D302" s="426"/>
      <c r="E302" s="427"/>
      <c r="F302" s="427"/>
      <c r="G302" s="427"/>
      <c r="H302" s="427"/>
      <c r="I302" s="427"/>
      <c r="J302" s="428" t="s">
        <v>467</v>
      </c>
      <c r="K302" s="424"/>
      <c r="L302" s="429"/>
      <c r="M302" s="114"/>
      <c r="N302" s="169"/>
      <c r="O302" s="35"/>
      <c r="P302" s="36"/>
      <c r="Q302" s="27"/>
    </row>
    <row r="303" hidden="1" outlineLevel="1">
      <c r="A303" s="27"/>
      <c r="B303" s="27"/>
      <c r="C303" s="27"/>
      <c r="D303" s="426"/>
      <c r="E303" s="427"/>
      <c r="F303" s="427"/>
      <c r="G303" s="427"/>
      <c r="H303" s="427"/>
      <c r="I303" s="427"/>
      <c r="J303" s="428" t="s">
        <v>468</v>
      </c>
      <c r="K303" s="424"/>
      <c r="L303" s="429"/>
      <c r="M303" s="114"/>
      <c r="N303" s="161"/>
      <c r="O303" s="35"/>
      <c r="P303" s="36"/>
      <c r="Q303" s="27"/>
    </row>
    <row r="304" hidden="1" outlineLevel="1">
      <c r="A304" s="27"/>
      <c r="B304" s="218"/>
      <c r="C304" s="27"/>
      <c r="D304" s="430"/>
      <c r="E304" s="431"/>
      <c r="F304" s="431"/>
      <c r="G304" s="431"/>
      <c r="H304" s="432"/>
      <c r="I304" s="432"/>
      <c r="J304" s="433" t="s">
        <v>469</v>
      </c>
      <c r="K304" s="424"/>
      <c r="L304" s="434"/>
      <c r="M304" s="114"/>
      <c r="N304" s="169"/>
      <c r="O304" s="35"/>
      <c r="P304" s="36"/>
      <c r="Q304" s="27"/>
    </row>
    <row r="305" hidden="1" outlineLevel="1">
      <c r="A305" s="27"/>
      <c r="B305" s="27"/>
      <c r="C305" s="27"/>
      <c r="D305" s="436" t="s">
        <v>471</v>
      </c>
      <c r="E305" s="10"/>
      <c r="F305" s="10"/>
      <c r="G305" s="10"/>
      <c r="H305" s="10"/>
      <c r="I305" s="10"/>
      <c r="J305" s="437"/>
      <c r="K305" s="438" t="s">
        <v>472</v>
      </c>
      <c r="L305" s="11"/>
      <c r="M305" s="114"/>
      <c r="N305" s="161"/>
      <c r="O305" s="35"/>
      <c r="P305" s="36"/>
      <c r="Q305" s="27"/>
    </row>
    <row r="306" collapsed="1">
      <c r="A306" s="146" t="s">
        <v>524</v>
      </c>
      <c r="B306" s="27"/>
      <c r="C306" s="58"/>
      <c r="D306" s="397" t="str">
        <f>'🤝 Client information'!C89</f>
        <v/>
      </c>
      <c r="E306" s="395"/>
      <c r="F306" s="395"/>
      <c r="G306" s="395"/>
      <c r="H306" s="398"/>
      <c r="I306" s="399"/>
      <c r="J306" s="400" t="s">
        <v>443</v>
      </c>
      <c r="K306" s="401">
        <f>IFERROR(
  (
    IF(K307="Shared with Skipr",1,IF(OR(K307="Got it (not shared yet)",K307="transfer confirmation received"),0.75,IF(OR(K307="Collecting",K307="3. info shared with finance colleague"),0.25,0)))
    +IF(K308="Shared with Skipr",1,IF(OR(K308="Got it (not shared yet)",K308="transfer confirmation received"),0.75,IF(OR(K308="Collecting",K308="3. info shared with finance colleague"),0.25,0)))
    +IF(K310="Shared with Skipr",1,IF(OR(K310="Got it (not shared yet)",K310="transfer confirmation received"),0.75,IF(OR(K310="Collecting",K310="3. info shared with finance colleague"),0.25,0)))
    +IF(K312="Shared with Skipr",1,IF(OR(K312="Got it (not shared yet)",K312="transfer confirmation received"),0.75,IF(OR(K312="Collecting",K312="3. info shared with finance colleague"),0.25,0)))
    +IF(K314="Shared with Skipr",1,IF(OR(K314="Got it (not shared yet)",K314="transfer confirmation received"),0.75,IF(OR(K314="Collecting",K314="3. info shared with finance colleague"),0.25,0)))
    +IF(K316="Shared with Skipr",1,IF(OR(K316="Got it (not shared yet)",K316="transfer confirmation received"),0.75,IF(OR(K316="Collecting",K316="3. info shared with finance colleague"),0.25,0)))
    +IF(K318="Shared with Skipr",1,IF(OR(K318="Got it (not shared yet)",K318="transfer confirmation received"),0.75,IF(OR(K318="Collecting",K318="3. info shared with finance colleague"),0.25,0)))
    +IF(K320="Shared with Skipr",1,IF(OR(K320="Got it (not shared yet)",K320="transfer confirmation received"),0.75,IF(OR(K320="Collecting",K320="3. info shared with finance colleague"),0.25,0)))
    +IF(K322="Shared with Skipr",1,IF(OR(K322="Got it (not shared yet)",K322="transfer confirmation received"),0.75,IF(OR(K322="Collecting",K322="info shared with finance colleague"),0.25,0)))
    +IF(K323="Shared with Skipr",1,IF(OR(K323="Got it (not shared yet)",K323="transfer confirmation received"),0.75,IF(OR(K323="Collecting",K323="3. info shared with finance colleague"),0.25,0)))
    +IF(K328="Shared with Skipr",1,IF(OR(K328="Got it (not shared yet)",K328="transfer confirmation received"),0.75,IF(OR(K328="Collecting",K328="3. info shared with finance colleague"),0.25,0)))
    +IF(K333="5. Skipr informed of Transfer",1,IF(OR(K333="Got it (not shared yet)",K333="transfer confirmation received"),0.75,IF(OR(K333="Collecting",K333="3. info shared with finance colleague"),0.25,0)))
  ) 
  /
  (
    COUNTIF(K307,"&lt;&gt;N/A")+COUNTIF(K308,"&lt;&gt;N/A")+COUNTIF(K310,"&lt;&gt;N/A")+COUNTIF(K312,"&lt;&gt;N/A")+COUNTIF(K314,"&lt;&gt;N/A")+COUNTIF(K316,"&lt;&gt;N/A")+COUNTIF(K318,"&lt;&gt;N/A")+COUNTIF(K320,"&lt;&gt;N/A")+COUNTIF(K322,"&lt;&gt;N/A")+COUNTIF(K323,"&lt;&gt;N/A")+COUNTIF(K328,"&lt;&gt;N/A")+COUNTIF(K333,"&lt;&gt;N/A")
  )
,0)</f>
        <v>0</v>
      </c>
      <c r="L306" s="395"/>
      <c r="M306" s="114"/>
      <c r="N306" s="161"/>
      <c r="O306" s="35"/>
      <c r="P306" s="36"/>
      <c r="Q306" s="27"/>
    </row>
    <row r="307" hidden="1" outlineLevel="1">
      <c r="A307" s="27"/>
      <c r="B307" s="27"/>
      <c r="C307" s="27"/>
      <c r="D307" s="402" t="s">
        <v>444</v>
      </c>
      <c r="E307" s="15"/>
      <c r="F307" s="15"/>
      <c r="G307" s="15"/>
      <c r="H307" s="15"/>
      <c r="I307" s="15"/>
      <c r="J307" s="16"/>
      <c r="K307" s="403" t="s">
        <v>452</v>
      </c>
      <c r="L307" s="16"/>
      <c r="M307" s="114"/>
      <c r="N307" s="161"/>
      <c r="O307" s="35"/>
      <c r="P307" s="36"/>
      <c r="Q307" s="27"/>
    </row>
    <row r="308" hidden="1" outlineLevel="1">
      <c r="A308" s="27"/>
      <c r="B308" s="27"/>
      <c r="C308" s="27"/>
      <c r="D308" s="405" t="s">
        <v>525</v>
      </c>
      <c r="E308" s="15"/>
      <c r="F308" s="15"/>
      <c r="G308" s="15"/>
      <c r="H308" s="15"/>
      <c r="I308" s="15"/>
      <c r="J308" s="16"/>
      <c r="K308" s="403" t="s">
        <v>452</v>
      </c>
      <c r="L308" s="16"/>
      <c r="M308" s="114"/>
      <c r="N308" s="161"/>
      <c r="O308" s="35"/>
      <c r="P308" s="36"/>
      <c r="Q308" s="27"/>
    </row>
    <row r="309" hidden="1" outlineLevel="1">
      <c r="A309" s="27"/>
      <c r="B309" s="27"/>
      <c r="C309" s="27"/>
      <c r="D309" s="407" t="s">
        <v>526</v>
      </c>
      <c r="E309" s="35"/>
      <c r="F309" s="35"/>
      <c r="G309" s="35"/>
      <c r="H309" s="35"/>
      <c r="I309" s="35"/>
      <c r="J309" s="36"/>
      <c r="K309" s="408"/>
      <c r="L309" s="36"/>
      <c r="M309" s="114"/>
      <c r="N309" s="161"/>
      <c r="O309" s="35"/>
      <c r="P309" s="36"/>
      <c r="Q309" s="27"/>
    </row>
    <row r="310" hidden="1" outlineLevel="1">
      <c r="A310" s="27"/>
      <c r="B310" s="27"/>
      <c r="C310" s="27"/>
      <c r="D310" s="402" t="s">
        <v>449</v>
      </c>
      <c r="E310" s="15"/>
      <c r="F310" s="15"/>
      <c r="G310" s="15"/>
      <c r="H310" s="15"/>
      <c r="I310" s="15"/>
      <c r="J310" s="16"/>
      <c r="K310" s="403" t="s">
        <v>452</v>
      </c>
      <c r="L310" s="16"/>
      <c r="M310" s="114"/>
      <c r="N310" s="161"/>
      <c r="O310" s="35"/>
      <c r="P310" s="36"/>
      <c r="Q310" s="27"/>
    </row>
    <row r="311" hidden="1" outlineLevel="1">
      <c r="A311" s="27"/>
      <c r="B311" s="27"/>
      <c r="C311" s="27"/>
      <c r="D311" s="409" t="s">
        <v>527</v>
      </c>
      <c r="E311" s="35"/>
      <c r="F311" s="35"/>
      <c r="G311" s="35"/>
      <c r="H311" s="35"/>
      <c r="I311" s="35"/>
      <c r="J311" s="36"/>
      <c r="K311" s="408"/>
      <c r="L311" s="36"/>
      <c r="M311" s="114"/>
      <c r="N311" s="161"/>
      <c r="O311" s="35"/>
      <c r="P311" s="36"/>
      <c r="Q311" s="27"/>
    </row>
    <row r="312" hidden="1" outlineLevel="1">
      <c r="A312" s="27"/>
      <c r="B312" s="27"/>
      <c r="C312" s="27"/>
      <c r="D312" s="410" t="s">
        <v>451</v>
      </c>
      <c r="E312" s="35"/>
      <c r="F312" s="35"/>
      <c r="G312" s="35"/>
      <c r="H312" s="35"/>
      <c r="I312" s="35"/>
      <c r="J312" s="36"/>
      <c r="K312" s="403" t="s">
        <v>452</v>
      </c>
      <c r="L312" s="16"/>
      <c r="M312" s="114"/>
      <c r="N312" s="161"/>
      <c r="O312" s="35"/>
      <c r="P312" s="36"/>
      <c r="Q312" s="27"/>
    </row>
    <row r="313" hidden="1" outlineLevel="1">
      <c r="A313" s="27"/>
      <c r="B313" s="27"/>
      <c r="C313" s="27"/>
      <c r="D313" s="409" t="s">
        <v>528</v>
      </c>
      <c r="E313" s="35"/>
      <c r="F313" s="35"/>
      <c r="G313" s="35"/>
      <c r="H313" s="35"/>
      <c r="I313" s="35"/>
      <c r="J313" s="36"/>
      <c r="K313" s="408"/>
      <c r="L313" s="36"/>
      <c r="M313" s="114"/>
      <c r="N313" s="161"/>
      <c r="O313" s="35"/>
      <c r="P313" s="36"/>
      <c r="Q313" s="27"/>
    </row>
    <row r="314" hidden="1" outlineLevel="1">
      <c r="A314" s="27"/>
      <c r="B314" s="27"/>
      <c r="C314" s="27"/>
      <c r="D314" s="405" t="s">
        <v>529</v>
      </c>
      <c r="E314" s="15"/>
      <c r="F314" s="15"/>
      <c r="G314" s="15"/>
      <c r="H314" s="15"/>
      <c r="I314" s="15"/>
      <c r="J314" s="16"/>
      <c r="K314" s="403" t="s">
        <v>452</v>
      </c>
      <c r="L314" s="16"/>
      <c r="M314" s="114"/>
      <c r="N314" s="161"/>
      <c r="O314" s="35"/>
      <c r="P314" s="36"/>
      <c r="Q314" s="27"/>
    </row>
    <row r="315" hidden="1" outlineLevel="1">
      <c r="A315" s="27"/>
      <c r="B315" s="27"/>
      <c r="C315" s="27"/>
      <c r="D315" s="411"/>
      <c r="E315" s="412" t="s">
        <v>455</v>
      </c>
      <c r="F315" s="35"/>
      <c r="G315" s="35"/>
      <c r="H315" s="35"/>
      <c r="I315" s="35"/>
      <c r="J315" s="36"/>
      <c r="K315" s="403"/>
      <c r="L315" s="16"/>
      <c r="M315" s="114"/>
      <c r="N315" s="161"/>
      <c r="O315" s="35"/>
      <c r="P315" s="36"/>
      <c r="Q315" s="27"/>
    </row>
    <row r="316" hidden="1" outlineLevel="1">
      <c r="A316" s="27"/>
      <c r="B316" s="27"/>
      <c r="C316" s="27"/>
      <c r="D316" s="413"/>
      <c r="E316" s="414" t="s">
        <v>456</v>
      </c>
      <c r="F316" s="183"/>
      <c r="G316" s="183"/>
      <c r="H316" s="183"/>
      <c r="I316" s="183"/>
      <c r="J316" s="183"/>
      <c r="K316" s="403" t="s">
        <v>452</v>
      </c>
      <c r="L316" s="16"/>
      <c r="M316" s="114"/>
      <c r="N316" s="161"/>
      <c r="O316" s="35"/>
      <c r="P316" s="36"/>
      <c r="Q316" s="27"/>
    </row>
    <row r="317" hidden="1" outlineLevel="1">
      <c r="A317" s="27"/>
      <c r="B317" s="27"/>
      <c r="C317" s="27"/>
      <c r="D317" s="415" t="s">
        <v>457</v>
      </c>
      <c r="E317" s="416" t="s">
        <v>458</v>
      </c>
      <c r="F317" s="195"/>
      <c r="G317" s="195"/>
      <c r="H317" s="195"/>
      <c r="I317" s="195"/>
      <c r="J317" s="195"/>
      <c r="K317" s="195"/>
      <c r="L317" s="417"/>
      <c r="M317" s="114"/>
      <c r="N317" s="161"/>
      <c r="O317" s="35"/>
      <c r="P317" s="36"/>
      <c r="Q317" s="27"/>
    </row>
    <row r="318" hidden="1" outlineLevel="1">
      <c r="A318" s="27"/>
      <c r="B318" s="27"/>
      <c r="C318" s="27"/>
      <c r="D318" s="418"/>
      <c r="E318" s="419" t="s">
        <v>493</v>
      </c>
      <c r="F318" s="195"/>
      <c r="G318" s="195"/>
      <c r="H318" s="195"/>
      <c r="I318" s="195"/>
      <c r="J318" s="417"/>
      <c r="K318" s="403" t="s">
        <v>452</v>
      </c>
      <c r="L318" s="16"/>
      <c r="M318" s="114"/>
      <c r="N318" s="161"/>
      <c r="O318" s="35"/>
      <c r="P318" s="36"/>
      <c r="Q318" s="27"/>
    </row>
    <row r="319" hidden="1" outlineLevel="1">
      <c r="A319" s="27"/>
      <c r="B319" s="27"/>
      <c r="C319" s="27"/>
      <c r="D319" s="411"/>
      <c r="E319" s="412" t="s">
        <v>460</v>
      </c>
      <c r="F319" s="35"/>
      <c r="G319" s="35"/>
      <c r="H319" s="35"/>
      <c r="I319" s="35"/>
      <c r="J319" s="36"/>
      <c r="K319" s="403"/>
      <c r="L319" s="16"/>
      <c r="M319" s="114"/>
      <c r="N319" s="161"/>
      <c r="O319" s="35"/>
      <c r="P319" s="36"/>
      <c r="Q319" s="27"/>
    </row>
    <row r="320" hidden="1" outlineLevel="1">
      <c r="A320" s="27"/>
      <c r="B320" s="27"/>
      <c r="C320" s="27"/>
      <c r="D320" s="413"/>
      <c r="E320" s="414" t="s">
        <v>461</v>
      </c>
      <c r="F320" s="183"/>
      <c r="G320" s="183"/>
      <c r="H320" s="183"/>
      <c r="I320" s="183"/>
      <c r="J320" s="183"/>
      <c r="K320" s="403" t="s">
        <v>452</v>
      </c>
      <c r="L320" s="16"/>
      <c r="M320" s="114"/>
      <c r="N320" s="150"/>
      <c r="O320" s="35"/>
      <c r="P320" s="36"/>
      <c r="Q320" s="27"/>
    </row>
    <row r="321" hidden="1" outlineLevel="1">
      <c r="A321" s="27"/>
      <c r="B321" s="27"/>
      <c r="C321" s="27"/>
      <c r="D321" s="411"/>
      <c r="E321" s="412" t="s">
        <v>462</v>
      </c>
      <c r="F321" s="35"/>
      <c r="G321" s="35"/>
      <c r="H321" s="35"/>
      <c r="I321" s="35"/>
      <c r="J321" s="36"/>
      <c r="K321" s="403"/>
      <c r="L321" s="16"/>
      <c r="M321" s="114"/>
      <c r="N321" s="150"/>
      <c r="O321" s="35"/>
      <c r="P321" s="36"/>
      <c r="Q321" s="27"/>
    </row>
    <row r="322" hidden="1" outlineLevel="1">
      <c r="A322" s="27"/>
      <c r="B322" s="27"/>
      <c r="C322" s="27"/>
      <c r="D322" s="413"/>
      <c r="E322" s="414" t="s">
        <v>463</v>
      </c>
      <c r="F322" s="183"/>
      <c r="G322" s="183"/>
      <c r="H322" s="183"/>
      <c r="I322" s="183"/>
      <c r="J322" s="183"/>
      <c r="K322" s="403" t="s">
        <v>452</v>
      </c>
      <c r="L322" s="16"/>
      <c r="M322" s="114"/>
      <c r="N322" s="150"/>
      <c r="O322" s="35"/>
      <c r="P322" s="36"/>
      <c r="Q322" s="27"/>
    </row>
    <row r="323" hidden="1" outlineLevel="1">
      <c r="A323" s="27"/>
      <c r="B323" s="27"/>
      <c r="C323" s="27"/>
      <c r="D323" s="420" t="s">
        <v>479</v>
      </c>
      <c r="E323" s="35"/>
      <c r="F323" s="35"/>
      <c r="G323" s="35"/>
      <c r="H323" s="35"/>
      <c r="I323" s="35"/>
      <c r="J323" s="36"/>
      <c r="K323" s="403" t="s">
        <v>452</v>
      </c>
      <c r="L323" s="16"/>
      <c r="M323" s="114"/>
      <c r="N323" s="150"/>
      <c r="O323" s="35"/>
      <c r="P323" s="36"/>
      <c r="Q323" s="27"/>
    </row>
    <row r="324" hidden="1" outlineLevel="1">
      <c r="A324" s="27"/>
      <c r="B324" s="27"/>
      <c r="C324" s="27"/>
      <c r="D324" s="421" t="s">
        <v>465</v>
      </c>
      <c r="E324" s="183"/>
      <c r="F324" s="183"/>
      <c r="G324" s="184"/>
      <c r="H324" s="422"/>
      <c r="I324" s="422"/>
      <c r="J324" s="423" t="s">
        <v>466</v>
      </c>
      <c r="K324" s="424"/>
      <c r="L324" s="425"/>
      <c r="M324" s="114"/>
      <c r="N324" s="150"/>
      <c r="O324" s="35"/>
      <c r="P324" s="36"/>
      <c r="Q324" s="27"/>
    </row>
    <row r="325" hidden="1" outlineLevel="1">
      <c r="A325" s="27"/>
      <c r="B325" s="27"/>
      <c r="C325" s="27"/>
      <c r="D325" s="426"/>
      <c r="E325" s="427"/>
      <c r="F325" s="427"/>
      <c r="G325" s="427"/>
      <c r="H325" s="427"/>
      <c r="I325" s="427"/>
      <c r="J325" s="428" t="s">
        <v>467</v>
      </c>
      <c r="K325" s="424"/>
      <c r="L325" s="429"/>
      <c r="M325" s="114"/>
      <c r="N325" s="150"/>
      <c r="O325" s="35"/>
      <c r="P325" s="36"/>
      <c r="Q325" s="27"/>
    </row>
    <row r="326" hidden="1" outlineLevel="1">
      <c r="A326" s="27"/>
      <c r="B326" s="27"/>
      <c r="C326" s="27"/>
      <c r="D326" s="426"/>
      <c r="E326" s="427"/>
      <c r="F326" s="427"/>
      <c r="G326" s="427"/>
      <c r="H326" s="427"/>
      <c r="I326" s="427"/>
      <c r="J326" s="428" t="s">
        <v>468</v>
      </c>
      <c r="K326" s="424"/>
      <c r="L326" s="429"/>
      <c r="M326" s="114"/>
      <c r="N326" s="150"/>
      <c r="O326" s="35"/>
      <c r="P326" s="36"/>
      <c r="Q326" s="27"/>
    </row>
    <row r="327" hidden="1" outlineLevel="1">
      <c r="A327" s="27"/>
      <c r="B327" s="27"/>
      <c r="C327" s="27"/>
      <c r="D327" s="430"/>
      <c r="E327" s="431"/>
      <c r="F327" s="431"/>
      <c r="G327" s="431"/>
      <c r="H327" s="432"/>
      <c r="I327" s="432"/>
      <c r="J327" s="433" t="s">
        <v>469</v>
      </c>
      <c r="K327" s="424"/>
      <c r="L327" s="434"/>
      <c r="M327" s="114"/>
      <c r="N327" s="150"/>
      <c r="O327" s="35"/>
      <c r="P327" s="36"/>
      <c r="Q327" s="27"/>
    </row>
    <row r="328" hidden="1" outlineLevel="1">
      <c r="A328" s="27"/>
      <c r="B328" s="27"/>
      <c r="C328" s="27"/>
      <c r="D328" s="435" t="s">
        <v>480</v>
      </c>
      <c r="E328" s="35"/>
      <c r="F328" s="35"/>
      <c r="G328" s="35"/>
      <c r="H328" s="35"/>
      <c r="I328" s="35"/>
      <c r="J328" s="36"/>
      <c r="K328" s="403" t="s">
        <v>452</v>
      </c>
      <c r="L328" s="16"/>
      <c r="M328" s="114"/>
      <c r="N328" s="150"/>
      <c r="O328" s="35"/>
      <c r="P328" s="36"/>
      <c r="Q328" s="27"/>
    </row>
    <row r="329" hidden="1" outlineLevel="1">
      <c r="A329" s="27"/>
      <c r="B329" s="27"/>
      <c r="C329" s="27"/>
      <c r="D329" s="421" t="s">
        <v>465</v>
      </c>
      <c r="E329" s="183"/>
      <c r="F329" s="183"/>
      <c r="G329" s="184"/>
      <c r="H329" s="422"/>
      <c r="I329" s="422"/>
      <c r="J329" s="423" t="s">
        <v>466</v>
      </c>
      <c r="K329" s="424"/>
      <c r="L329" s="425"/>
      <c r="M329" s="114"/>
      <c r="N329" s="150"/>
      <c r="O329" s="35"/>
      <c r="P329" s="36"/>
      <c r="Q329" s="27"/>
    </row>
    <row r="330" hidden="1" outlineLevel="1">
      <c r="A330" s="27"/>
      <c r="B330" s="27"/>
      <c r="C330" s="27"/>
      <c r="D330" s="426"/>
      <c r="E330" s="427"/>
      <c r="F330" s="427"/>
      <c r="G330" s="427"/>
      <c r="H330" s="427"/>
      <c r="I330" s="427"/>
      <c r="J330" s="428" t="s">
        <v>467</v>
      </c>
      <c r="K330" s="424"/>
      <c r="L330" s="429"/>
      <c r="M330" s="114"/>
      <c r="N330" s="150"/>
      <c r="O330" s="35"/>
      <c r="P330" s="36"/>
      <c r="Q330" s="27"/>
    </row>
    <row r="331" hidden="1" outlineLevel="1">
      <c r="A331" s="27"/>
      <c r="B331" s="27"/>
      <c r="C331" s="27"/>
      <c r="D331" s="426"/>
      <c r="E331" s="427"/>
      <c r="F331" s="427"/>
      <c r="G331" s="427"/>
      <c r="H331" s="427"/>
      <c r="I331" s="427"/>
      <c r="J331" s="428" t="s">
        <v>468</v>
      </c>
      <c r="K331" s="424"/>
      <c r="L331" s="429"/>
      <c r="M331" s="114"/>
      <c r="N331" s="150"/>
      <c r="O331" s="35"/>
      <c r="P331" s="36"/>
      <c r="Q331" s="27"/>
    </row>
    <row r="332" hidden="1" outlineLevel="1">
      <c r="A332" s="27"/>
      <c r="B332" s="27"/>
      <c r="C332" s="27"/>
      <c r="D332" s="430"/>
      <c r="E332" s="431"/>
      <c r="F332" s="431"/>
      <c r="G332" s="431"/>
      <c r="H332" s="432"/>
      <c r="I332" s="432"/>
      <c r="J332" s="433" t="s">
        <v>469</v>
      </c>
      <c r="K332" s="424"/>
      <c r="L332" s="434"/>
      <c r="M332" s="114"/>
      <c r="N332" s="150"/>
      <c r="O332" s="35"/>
      <c r="P332" s="36"/>
      <c r="Q332" s="27"/>
    </row>
    <row r="333" hidden="1" outlineLevel="1">
      <c r="A333" s="27"/>
      <c r="B333" s="27"/>
      <c r="C333" s="27"/>
      <c r="D333" s="436" t="s">
        <v>471</v>
      </c>
      <c r="E333" s="10"/>
      <c r="F333" s="10"/>
      <c r="G333" s="10"/>
      <c r="H333" s="10"/>
      <c r="I333" s="10"/>
      <c r="J333" s="437"/>
      <c r="K333" s="438" t="s">
        <v>472</v>
      </c>
      <c r="L333" s="11"/>
      <c r="M333" s="114"/>
      <c r="N333" s="150"/>
      <c r="O333" s="35"/>
      <c r="P333" s="36"/>
      <c r="Q333" s="27"/>
    </row>
    <row r="334">
      <c r="A334" s="27"/>
      <c r="B334" s="27"/>
      <c r="C334" s="27"/>
      <c r="D334" s="321"/>
      <c r="E334" s="321"/>
      <c r="F334" s="321"/>
      <c r="G334" s="321"/>
      <c r="H334" s="439"/>
      <c r="I334" s="439"/>
      <c r="J334" s="114"/>
      <c r="K334" s="114"/>
      <c r="L334" s="90"/>
      <c r="M334" s="27"/>
      <c r="N334" s="27"/>
      <c r="O334" s="27"/>
      <c r="P334" s="27"/>
      <c r="Q334" s="27"/>
    </row>
    <row r="335">
      <c r="A335" s="27"/>
      <c r="B335" s="27"/>
      <c r="C335" s="27"/>
      <c r="D335" s="321"/>
      <c r="E335" s="321"/>
      <c r="F335" s="321"/>
      <c r="G335" s="321"/>
      <c r="H335" s="439"/>
      <c r="I335" s="439"/>
      <c r="J335" s="114"/>
      <c r="K335" s="114"/>
      <c r="L335" s="90"/>
      <c r="M335" s="27"/>
      <c r="N335" s="27"/>
      <c r="O335" s="27"/>
      <c r="P335" s="27"/>
      <c r="Q335" s="27"/>
    </row>
    <row r="336">
      <c r="A336" s="27"/>
      <c r="B336" s="27"/>
      <c r="C336" s="27"/>
      <c r="D336" s="321"/>
      <c r="E336" s="321"/>
      <c r="F336" s="321"/>
      <c r="G336" s="321"/>
      <c r="H336" s="439"/>
      <c r="I336" s="439"/>
      <c r="J336" s="114"/>
      <c r="K336" s="114"/>
      <c r="L336" s="90"/>
      <c r="M336" s="27"/>
      <c r="N336" s="27"/>
      <c r="O336" s="27"/>
      <c r="P336" s="27"/>
      <c r="Q336" s="27"/>
    </row>
  </sheetData>
  <mergeCells count="697">
    <mergeCell ref="K81:L81"/>
    <mergeCell ref="N81:P81"/>
    <mergeCell ref="D72:G72"/>
    <mergeCell ref="D76:J76"/>
    <mergeCell ref="K76:L76"/>
    <mergeCell ref="N76:P76"/>
    <mergeCell ref="D77:G77"/>
    <mergeCell ref="N77:P77"/>
    <mergeCell ref="D81:J81"/>
    <mergeCell ref="B12:B13"/>
    <mergeCell ref="D12:G13"/>
    <mergeCell ref="D16:H17"/>
    <mergeCell ref="D27:H28"/>
    <mergeCell ref="D50:L51"/>
    <mergeCell ref="D53:L53"/>
    <mergeCell ref="N53:P53"/>
    <mergeCell ref="D54:H54"/>
    <mergeCell ref="K54:L54"/>
    <mergeCell ref="N54:P54"/>
    <mergeCell ref="D55:J55"/>
    <mergeCell ref="K55:L55"/>
    <mergeCell ref="D56:J56"/>
    <mergeCell ref="K56:L56"/>
    <mergeCell ref="D57:J57"/>
    <mergeCell ref="K57:L57"/>
    <mergeCell ref="D58:J58"/>
    <mergeCell ref="K58:L58"/>
    <mergeCell ref="D59:J59"/>
    <mergeCell ref="K59:L59"/>
    <mergeCell ref="K60:L60"/>
    <mergeCell ref="N55:P55"/>
    <mergeCell ref="N56:P56"/>
    <mergeCell ref="N57:P57"/>
    <mergeCell ref="N58:P58"/>
    <mergeCell ref="N59:P59"/>
    <mergeCell ref="N60:P60"/>
    <mergeCell ref="N61:P61"/>
    <mergeCell ref="D60:J60"/>
    <mergeCell ref="D61:J61"/>
    <mergeCell ref="K61:L61"/>
    <mergeCell ref="D62:J62"/>
    <mergeCell ref="K62:L62"/>
    <mergeCell ref="E63:J63"/>
    <mergeCell ref="K63:L63"/>
    <mergeCell ref="K71:L71"/>
    <mergeCell ref="N71:P71"/>
    <mergeCell ref="N72:P72"/>
    <mergeCell ref="N331:P331"/>
    <mergeCell ref="N332:P332"/>
    <mergeCell ref="D333:J333"/>
    <mergeCell ref="K333:L333"/>
    <mergeCell ref="N333:P333"/>
    <mergeCell ref="D295:J295"/>
    <mergeCell ref="K295:L295"/>
    <mergeCell ref="N295:P295"/>
    <mergeCell ref="D296:G296"/>
    <mergeCell ref="N296:P296"/>
    <mergeCell ref="N297:P297"/>
    <mergeCell ref="N298:P298"/>
    <mergeCell ref="N299:P299"/>
    <mergeCell ref="D300:J300"/>
    <mergeCell ref="K300:L300"/>
    <mergeCell ref="N300:P300"/>
    <mergeCell ref="D301:G301"/>
    <mergeCell ref="N301:P301"/>
    <mergeCell ref="N302:P302"/>
    <mergeCell ref="N303:P303"/>
    <mergeCell ref="N304:P304"/>
    <mergeCell ref="D305:J305"/>
    <mergeCell ref="K305:L305"/>
    <mergeCell ref="N305:P305"/>
    <mergeCell ref="K306:L306"/>
    <mergeCell ref="N306:P306"/>
    <mergeCell ref="D306:H306"/>
    <mergeCell ref="D307:J307"/>
    <mergeCell ref="K307:L307"/>
    <mergeCell ref="N307:P307"/>
    <mergeCell ref="D308:J308"/>
    <mergeCell ref="K308:L308"/>
    <mergeCell ref="N308:P308"/>
    <mergeCell ref="N310:P310"/>
    <mergeCell ref="N311:P311"/>
    <mergeCell ref="D309:J309"/>
    <mergeCell ref="K309:L309"/>
    <mergeCell ref="N309:P309"/>
    <mergeCell ref="D310:J310"/>
    <mergeCell ref="K310:L310"/>
    <mergeCell ref="D311:J311"/>
    <mergeCell ref="K311:L311"/>
    <mergeCell ref="N313:P313"/>
    <mergeCell ref="N314:P314"/>
    <mergeCell ref="D312:J312"/>
    <mergeCell ref="K312:L312"/>
    <mergeCell ref="N312:P312"/>
    <mergeCell ref="D313:J313"/>
    <mergeCell ref="K313:L313"/>
    <mergeCell ref="D314:J314"/>
    <mergeCell ref="K314:L314"/>
    <mergeCell ref="E315:J315"/>
    <mergeCell ref="K315:L315"/>
    <mergeCell ref="N315:P315"/>
    <mergeCell ref="E316:J316"/>
    <mergeCell ref="K316:L316"/>
    <mergeCell ref="N316:P316"/>
    <mergeCell ref="N317:P317"/>
    <mergeCell ref="E317:L317"/>
    <mergeCell ref="E318:J318"/>
    <mergeCell ref="K318:L318"/>
    <mergeCell ref="N318:P318"/>
    <mergeCell ref="E319:J319"/>
    <mergeCell ref="K319:L319"/>
    <mergeCell ref="N319:P319"/>
    <mergeCell ref="N321:P321"/>
    <mergeCell ref="N322:P322"/>
    <mergeCell ref="E320:J320"/>
    <mergeCell ref="K320:L320"/>
    <mergeCell ref="N320:P320"/>
    <mergeCell ref="E321:J321"/>
    <mergeCell ref="K321:L321"/>
    <mergeCell ref="E322:J322"/>
    <mergeCell ref="K322:L322"/>
    <mergeCell ref="D323:J323"/>
    <mergeCell ref="K323:L323"/>
    <mergeCell ref="N323:P323"/>
    <mergeCell ref="D324:G324"/>
    <mergeCell ref="N324:P324"/>
    <mergeCell ref="N325:P325"/>
    <mergeCell ref="N326:P326"/>
    <mergeCell ref="N327:P327"/>
    <mergeCell ref="D328:J328"/>
    <mergeCell ref="K328:L328"/>
    <mergeCell ref="N328:P328"/>
    <mergeCell ref="D329:G329"/>
    <mergeCell ref="N329:P329"/>
    <mergeCell ref="N330:P330"/>
    <mergeCell ref="N69:P69"/>
    <mergeCell ref="N70:P70"/>
    <mergeCell ref="N73:P73"/>
    <mergeCell ref="N74:P74"/>
    <mergeCell ref="N75:P75"/>
    <mergeCell ref="N78:P78"/>
    <mergeCell ref="N79:P79"/>
    <mergeCell ref="N80:P80"/>
    <mergeCell ref="N62:P62"/>
    <mergeCell ref="N63:P63"/>
    <mergeCell ref="N64:P64"/>
    <mergeCell ref="N65:P65"/>
    <mergeCell ref="N66:P66"/>
    <mergeCell ref="N67:P67"/>
    <mergeCell ref="N68:P68"/>
    <mergeCell ref="E64:J64"/>
    <mergeCell ref="K64:L64"/>
    <mergeCell ref="E65:L65"/>
    <mergeCell ref="E66:J66"/>
    <mergeCell ref="K66:L66"/>
    <mergeCell ref="E67:J67"/>
    <mergeCell ref="K67:L67"/>
    <mergeCell ref="E68:J68"/>
    <mergeCell ref="K68:L68"/>
    <mergeCell ref="E69:J69"/>
    <mergeCell ref="K69:L69"/>
    <mergeCell ref="E70:J70"/>
    <mergeCell ref="K70:L70"/>
    <mergeCell ref="D71:J71"/>
    <mergeCell ref="N83:P83"/>
    <mergeCell ref="N84:P84"/>
    <mergeCell ref="D82:H82"/>
    <mergeCell ref="K82:L82"/>
    <mergeCell ref="N82:P82"/>
    <mergeCell ref="D83:J83"/>
    <mergeCell ref="K83:L83"/>
    <mergeCell ref="D84:J84"/>
    <mergeCell ref="K84:L84"/>
    <mergeCell ref="N86:P86"/>
    <mergeCell ref="N87:P87"/>
    <mergeCell ref="D85:J85"/>
    <mergeCell ref="K85:L85"/>
    <mergeCell ref="N85:P85"/>
    <mergeCell ref="D86:J86"/>
    <mergeCell ref="K86:L86"/>
    <mergeCell ref="D87:J87"/>
    <mergeCell ref="K87:L87"/>
    <mergeCell ref="N89:P89"/>
    <mergeCell ref="N90:P90"/>
    <mergeCell ref="D88:J88"/>
    <mergeCell ref="K88:L88"/>
    <mergeCell ref="N88:P88"/>
    <mergeCell ref="D89:J89"/>
    <mergeCell ref="K89:L89"/>
    <mergeCell ref="D90:J90"/>
    <mergeCell ref="K90:L90"/>
    <mergeCell ref="E91:J91"/>
    <mergeCell ref="K91:L91"/>
    <mergeCell ref="N91:P91"/>
    <mergeCell ref="E92:J92"/>
    <mergeCell ref="K92:L92"/>
    <mergeCell ref="N92:P92"/>
    <mergeCell ref="N93:P93"/>
    <mergeCell ref="E93:L93"/>
    <mergeCell ref="E94:J94"/>
    <mergeCell ref="K94:L94"/>
    <mergeCell ref="N94:P94"/>
    <mergeCell ref="E95:J95"/>
    <mergeCell ref="K95:L95"/>
    <mergeCell ref="N95:P95"/>
    <mergeCell ref="N97:P97"/>
    <mergeCell ref="N98:P98"/>
    <mergeCell ref="E96:J96"/>
    <mergeCell ref="K96:L96"/>
    <mergeCell ref="N96:P96"/>
    <mergeCell ref="E97:J97"/>
    <mergeCell ref="K97:L97"/>
    <mergeCell ref="E98:J98"/>
    <mergeCell ref="K98:L98"/>
    <mergeCell ref="D99:J99"/>
    <mergeCell ref="K99:L99"/>
    <mergeCell ref="N99:P99"/>
    <mergeCell ref="D100:G100"/>
    <mergeCell ref="N100:P100"/>
    <mergeCell ref="N101:P101"/>
    <mergeCell ref="N102:P102"/>
    <mergeCell ref="N103:P103"/>
    <mergeCell ref="D104:J104"/>
    <mergeCell ref="K104:L104"/>
    <mergeCell ref="N104:P104"/>
    <mergeCell ref="D105:G105"/>
    <mergeCell ref="N105:P105"/>
    <mergeCell ref="N106:P106"/>
    <mergeCell ref="N107:P107"/>
    <mergeCell ref="N108:P108"/>
    <mergeCell ref="D109:J109"/>
    <mergeCell ref="K109:L109"/>
    <mergeCell ref="N109:P109"/>
    <mergeCell ref="K110:L110"/>
    <mergeCell ref="N110:P110"/>
    <mergeCell ref="D110:H110"/>
    <mergeCell ref="D111:J111"/>
    <mergeCell ref="K111:L111"/>
    <mergeCell ref="N111:P111"/>
    <mergeCell ref="D112:J112"/>
    <mergeCell ref="K112:L112"/>
    <mergeCell ref="N112:P112"/>
    <mergeCell ref="N114:P114"/>
    <mergeCell ref="N115:P115"/>
    <mergeCell ref="D113:J113"/>
    <mergeCell ref="K113:L113"/>
    <mergeCell ref="N113:P113"/>
    <mergeCell ref="D114:J114"/>
    <mergeCell ref="K114:L114"/>
    <mergeCell ref="D115:J115"/>
    <mergeCell ref="K115:L115"/>
    <mergeCell ref="N117:P117"/>
    <mergeCell ref="N118:P118"/>
    <mergeCell ref="D116:J116"/>
    <mergeCell ref="K116:L116"/>
    <mergeCell ref="N116:P116"/>
    <mergeCell ref="D117:J117"/>
    <mergeCell ref="K117:L117"/>
    <mergeCell ref="D118:J118"/>
    <mergeCell ref="K118:L118"/>
    <mergeCell ref="E119:J119"/>
    <mergeCell ref="K119:L119"/>
    <mergeCell ref="N119:P119"/>
    <mergeCell ref="E120:J120"/>
    <mergeCell ref="K120:L120"/>
    <mergeCell ref="N120:P120"/>
    <mergeCell ref="N121:P121"/>
    <mergeCell ref="E121:L121"/>
    <mergeCell ref="E122:J122"/>
    <mergeCell ref="K122:L122"/>
    <mergeCell ref="N122:P122"/>
    <mergeCell ref="E123:J123"/>
    <mergeCell ref="K123:L123"/>
    <mergeCell ref="N123:P123"/>
    <mergeCell ref="N125:P125"/>
    <mergeCell ref="N126:P126"/>
    <mergeCell ref="E124:J124"/>
    <mergeCell ref="K124:L124"/>
    <mergeCell ref="N124:P124"/>
    <mergeCell ref="E125:J125"/>
    <mergeCell ref="K125:L125"/>
    <mergeCell ref="E126:J126"/>
    <mergeCell ref="K126:L126"/>
    <mergeCell ref="D127:J127"/>
    <mergeCell ref="K127:L127"/>
    <mergeCell ref="N127:P127"/>
    <mergeCell ref="D128:G128"/>
    <mergeCell ref="N128:P128"/>
    <mergeCell ref="N129:P129"/>
    <mergeCell ref="N130:P130"/>
    <mergeCell ref="N131:P131"/>
    <mergeCell ref="D132:J132"/>
    <mergeCell ref="K132:L132"/>
    <mergeCell ref="N132:P132"/>
    <mergeCell ref="D133:G133"/>
    <mergeCell ref="N133:P133"/>
    <mergeCell ref="N134:P134"/>
    <mergeCell ref="N135:P135"/>
    <mergeCell ref="N136:P136"/>
    <mergeCell ref="D137:J137"/>
    <mergeCell ref="K137:L137"/>
    <mergeCell ref="N137:P137"/>
    <mergeCell ref="K138:L138"/>
    <mergeCell ref="N138:P138"/>
    <mergeCell ref="D138:H138"/>
    <mergeCell ref="D139:J139"/>
    <mergeCell ref="K139:L139"/>
    <mergeCell ref="N139:P139"/>
    <mergeCell ref="D140:J140"/>
    <mergeCell ref="K140:L140"/>
    <mergeCell ref="N140:P140"/>
    <mergeCell ref="N142:P142"/>
    <mergeCell ref="N143:P143"/>
    <mergeCell ref="D141:J141"/>
    <mergeCell ref="K141:L141"/>
    <mergeCell ref="N141:P141"/>
    <mergeCell ref="D142:J142"/>
    <mergeCell ref="K142:L142"/>
    <mergeCell ref="D143:J143"/>
    <mergeCell ref="K143:L143"/>
    <mergeCell ref="N145:P145"/>
    <mergeCell ref="N146:P146"/>
    <mergeCell ref="D144:J144"/>
    <mergeCell ref="K144:L144"/>
    <mergeCell ref="N144:P144"/>
    <mergeCell ref="D145:J145"/>
    <mergeCell ref="K145:L145"/>
    <mergeCell ref="D146:J146"/>
    <mergeCell ref="K146:L146"/>
    <mergeCell ref="E147:J147"/>
    <mergeCell ref="K147:L147"/>
    <mergeCell ref="N147:P147"/>
    <mergeCell ref="E148:J148"/>
    <mergeCell ref="K148:L148"/>
    <mergeCell ref="N148:P148"/>
    <mergeCell ref="N149:P149"/>
    <mergeCell ref="E149:L149"/>
    <mergeCell ref="E150:J150"/>
    <mergeCell ref="K150:L150"/>
    <mergeCell ref="N150:P150"/>
    <mergeCell ref="E151:J151"/>
    <mergeCell ref="K151:L151"/>
    <mergeCell ref="N151:P151"/>
    <mergeCell ref="N153:P153"/>
    <mergeCell ref="N154:P154"/>
    <mergeCell ref="E152:J152"/>
    <mergeCell ref="K152:L152"/>
    <mergeCell ref="N152:P152"/>
    <mergeCell ref="E153:J153"/>
    <mergeCell ref="K153:L153"/>
    <mergeCell ref="E154:J154"/>
    <mergeCell ref="K154:L154"/>
    <mergeCell ref="D155:J155"/>
    <mergeCell ref="K155:L155"/>
    <mergeCell ref="N155:P155"/>
    <mergeCell ref="D156:G156"/>
    <mergeCell ref="N156:P156"/>
    <mergeCell ref="N157:P157"/>
    <mergeCell ref="N158:P158"/>
    <mergeCell ref="N159:P159"/>
    <mergeCell ref="D160:J160"/>
    <mergeCell ref="K160:L160"/>
    <mergeCell ref="N160:P160"/>
    <mergeCell ref="D161:G161"/>
    <mergeCell ref="N161:P161"/>
    <mergeCell ref="N162:P162"/>
    <mergeCell ref="N163:P163"/>
    <mergeCell ref="N164:P164"/>
    <mergeCell ref="D165:J165"/>
    <mergeCell ref="K165:L165"/>
    <mergeCell ref="N165:P165"/>
    <mergeCell ref="K166:L166"/>
    <mergeCell ref="N166:P166"/>
    <mergeCell ref="D166:H166"/>
    <mergeCell ref="D167:J167"/>
    <mergeCell ref="K167:L167"/>
    <mergeCell ref="N167:P167"/>
    <mergeCell ref="D168:J168"/>
    <mergeCell ref="K168:L168"/>
    <mergeCell ref="N168:P168"/>
    <mergeCell ref="N170:P170"/>
    <mergeCell ref="N171:P171"/>
    <mergeCell ref="D169:J169"/>
    <mergeCell ref="K169:L169"/>
    <mergeCell ref="N169:P169"/>
    <mergeCell ref="D170:J170"/>
    <mergeCell ref="K170:L170"/>
    <mergeCell ref="D171:J171"/>
    <mergeCell ref="K171:L171"/>
    <mergeCell ref="N173:P173"/>
    <mergeCell ref="N174:P174"/>
    <mergeCell ref="D172:J172"/>
    <mergeCell ref="K172:L172"/>
    <mergeCell ref="N172:P172"/>
    <mergeCell ref="D173:J173"/>
    <mergeCell ref="K173:L173"/>
    <mergeCell ref="D174:J174"/>
    <mergeCell ref="K174:L174"/>
    <mergeCell ref="E175:J175"/>
    <mergeCell ref="K175:L175"/>
    <mergeCell ref="N175:P175"/>
    <mergeCell ref="E176:J176"/>
    <mergeCell ref="K176:L176"/>
    <mergeCell ref="N176:P176"/>
    <mergeCell ref="N177:P177"/>
    <mergeCell ref="E177:L177"/>
    <mergeCell ref="E178:J178"/>
    <mergeCell ref="K178:L178"/>
    <mergeCell ref="N178:P178"/>
    <mergeCell ref="E179:J179"/>
    <mergeCell ref="K179:L179"/>
    <mergeCell ref="N179:P179"/>
    <mergeCell ref="N181:P181"/>
    <mergeCell ref="N182:P182"/>
    <mergeCell ref="E180:J180"/>
    <mergeCell ref="K180:L180"/>
    <mergeCell ref="N180:P180"/>
    <mergeCell ref="E181:J181"/>
    <mergeCell ref="K181:L181"/>
    <mergeCell ref="E182:J182"/>
    <mergeCell ref="K182:L182"/>
    <mergeCell ref="D183:J183"/>
    <mergeCell ref="K183:L183"/>
    <mergeCell ref="N183:P183"/>
    <mergeCell ref="D184:G184"/>
    <mergeCell ref="N184:P184"/>
    <mergeCell ref="N185:P185"/>
    <mergeCell ref="N186:P186"/>
    <mergeCell ref="N187:P187"/>
    <mergeCell ref="D188:J188"/>
    <mergeCell ref="K188:L188"/>
    <mergeCell ref="N188:P188"/>
    <mergeCell ref="D189:G189"/>
    <mergeCell ref="N189:P189"/>
    <mergeCell ref="N190:P190"/>
    <mergeCell ref="N191:P191"/>
    <mergeCell ref="N192:P192"/>
    <mergeCell ref="D193:J193"/>
    <mergeCell ref="K193:L193"/>
    <mergeCell ref="N193:P193"/>
    <mergeCell ref="K194:L194"/>
    <mergeCell ref="N194:P194"/>
    <mergeCell ref="D194:H194"/>
    <mergeCell ref="D195:J195"/>
    <mergeCell ref="K195:L195"/>
    <mergeCell ref="N195:P195"/>
    <mergeCell ref="D196:J196"/>
    <mergeCell ref="K196:L196"/>
    <mergeCell ref="N196:P196"/>
    <mergeCell ref="N198:P198"/>
    <mergeCell ref="N199:P199"/>
    <mergeCell ref="D197:J197"/>
    <mergeCell ref="K197:L197"/>
    <mergeCell ref="N197:P197"/>
    <mergeCell ref="D198:J198"/>
    <mergeCell ref="K198:L198"/>
    <mergeCell ref="D199:J199"/>
    <mergeCell ref="K199:L199"/>
    <mergeCell ref="N201:P201"/>
    <mergeCell ref="N202:P202"/>
    <mergeCell ref="D200:J200"/>
    <mergeCell ref="K200:L200"/>
    <mergeCell ref="N200:P200"/>
    <mergeCell ref="D201:J201"/>
    <mergeCell ref="K201:L201"/>
    <mergeCell ref="D202:J202"/>
    <mergeCell ref="K202:L202"/>
    <mergeCell ref="E203:J203"/>
    <mergeCell ref="K203:L203"/>
    <mergeCell ref="N203:P203"/>
    <mergeCell ref="E204:J204"/>
    <mergeCell ref="K204:L204"/>
    <mergeCell ref="N204:P204"/>
    <mergeCell ref="N205:P205"/>
    <mergeCell ref="E205:L205"/>
    <mergeCell ref="E206:J206"/>
    <mergeCell ref="K206:L206"/>
    <mergeCell ref="N206:P206"/>
    <mergeCell ref="E207:J207"/>
    <mergeCell ref="K207:L207"/>
    <mergeCell ref="N207:P207"/>
    <mergeCell ref="N209:P209"/>
    <mergeCell ref="N210:P210"/>
    <mergeCell ref="E208:J208"/>
    <mergeCell ref="K208:L208"/>
    <mergeCell ref="N208:P208"/>
    <mergeCell ref="E209:J209"/>
    <mergeCell ref="K209:L209"/>
    <mergeCell ref="E210:J210"/>
    <mergeCell ref="K210:L210"/>
    <mergeCell ref="D211:J211"/>
    <mergeCell ref="K211:L211"/>
    <mergeCell ref="N211:P211"/>
    <mergeCell ref="D212:G212"/>
    <mergeCell ref="N212:P212"/>
    <mergeCell ref="N213:P213"/>
    <mergeCell ref="N214:P214"/>
    <mergeCell ref="N215:P215"/>
    <mergeCell ref="D216:J216"/>
    <mergeCell ref="K216:L216"/>
    <mergeCell ref="N216:P216"/>
    <mergeCell ref="D217:G217"/>
    <mergeCell ref="N217:P217"/>
    <mergeCell ref="N218:P218"/>
    <mergeCell ref="N219:P219"/>
    <mergeCell ref="N220:P220"/>
    <mergeCell ref="D221:J221"/>
    <mergeCell ref="K221:L221"/>
    <mergeCell ref="N221:P221"/>
    <mergeCell ref="K222:L222"/>
    <mergeCell ref="N222:P222"/>
    <mergeCell ref="D222:H222"/>
    <mergeCell ref="D223:J223"/>
    <mergeCell ref="K223:L223"/>
    <mergeCell ref="N223:P223"/>
    <mergeCell ref="D224:J224"/>
    <mergeCell ref="K224:L224"/>
    <mergeCell ref="N224:P224"/>
    <mergeCell ref="N226:P226"/>
    <mergeCell ref="N227:P227"/>
    <mergeCell ref="D225:J225"/>
    <mergeCell ref="K225:L225"/>
    <mergeCell ref="N225:P225"/>
    <mergeCell ref="D226:J226"/>
    <mergeCell ref="K226:L226"/>
    <mergeCell ref="D227:J227"/>
    <mergeCell ref="K227:L227"/>
    <mergeCell ref="N229:P229"/>
    <mergeCell ref="N230:P230"/>
    <mergeCell ref="D228:J228"/>
    <mergeCell ref="K228:L228"/>
    <mergeCell ref="N228:P228"/>
    <mergeCell ref="D229:J229"/>
    <mergeCell ref="K229:L229"/>
    <mergeCell ref="D230:J230"/>
    <mergeCell ref="K230:L230"/>
    <mergeCell ref="E231:J231"/>
    <mergeCell ref="K231:L231"/>
    <mergeCell ref="N231:P231"/>
    <mergeCell ref="E232:J232"/>
    <mergeCell ref="K232:L232"/>
    <mergeCell ref="N232:P232"/>
    <mergeCell ref="N233:P233"/>
    <mergeCell ref="E233:L233"/>
    <mergeCell ref="E234:J234"/>
    <mergeCell ref="K234:L234"/>
    <mergeCell ref="N234:P234"/>
    <mergeCell ref="E235:J235"/>
    <mergeCell ref="K235:L235"/>
    <mergeCell ref="N235:P235"/>
    <mergeCell ref="N237:P237"/>
    <mergeCell ref="N238:P238"/>
    <mergeCell ref="E236:J236"/>
    <mergeCell ref="K236:L236"/>
    <mergeCell ref="N236:P236"/>
    <mergeCell ref="E237:J237"/>
    <mergeCell ref="K237:L237"/>
    <mergeCell ref="E238:J238"/>
    <mergeCell ref="K238:L238"/>
    <mergeCell ref="D239:J239"/>
    <mergeCell ref="K239:L239"/>
    <mergeCell ref="N239:P239"/>
    <mergeCell ref="D240:G240"/>
    <mergeCell ref="N240:P240"/>
    <mergeCell ref="N241:P241"/>
    <mergeCell ref="N242:P242"/>
    <mergeCell ref="N243:P243"/>
    <mergeCell ref="D244:J244"/>
    <mergeCell ref="K244:L244"/>
    <mergeCell ref="N244:P244"/>
    <mergeCell ref="D245:G245"/>
    <mergeCell ref="N245:P245"/>
    <mergeCell ref="N246:P246"/>
    <mergeCell ref="N247:P247"/>
    <mergeCell ref="N248:P248"/>
    <mergeCell ref="D249:J249"/>
    <mergeCell ref="K249:L249"/>
    <mergeCell ref="N249:P249"/>
    <mergeCell ref="K250:L250"/>
    <mergeCell ref="N250:P250"/>
    <mergeCell ref="D250:H250"/>
    <mergeCell ref="D251:J251"/>
    <mergeCell ref="K251:L251"/>
    <mergeCell ref="N251:P251"/>
    <mergeCell ref="D252:J252"/>
    <mergeCell ref="K252:L252"/>
    <mergeCell ref="N252:P252"/>
    <mergeCell ref="N254:P254"/>
    <mergeCell ref="N255:P255"/>
    <mergeCell ref="D253:J253"/>
    <mergeCell ref="K253:L253"/>
    <mergeCell ref="N253:P253"/>
    <mergeCell ref="D254:J254"/>
    <mergeCell ref="K254:L254"/>
    <mergeCell ref="D255:J255"/>
    <mergeCell ref="K255:L255"/>
    <mergeCell ref="N257:P257"/>
    <mergeCell ref="N258:P258"/>
    <mergeCell ref="D256:J256"/>
    <mergeCell ref="K256:L256"/>
    <mergeCell ref="N256:P256"/>
    <mergeCell ref="D257:J257"/>
    <mergeCell ref="K257:L257"/>
    <mergeCell ref="D258:J258"/>
    <mergeCell ref="K258:L258"/>
    <mergeCell ref="E259:J259"/>
    <mergeCell ref="K259:L259"/>
    <mergeCell ref="N259:P259"/>
    <mergeCell ref="E260:J260"/>
    <mergeCell ref="K260:L260"/>
    <mergeCell ref="N260:P260"/>
    <mergeCell ref="N261:P261"/>
    <mergeCell ref="E261:L261"/>
    <mergeCell ref="E262:J262"/>
    <mergeCell ref="K262:L262"/>
    <mergeCell ref="N262:P262"/>
    <mergeCell ref="E263:J263"/>
    <mergeCell ref="K263:L263"/>
    <mergeCell ref="N263:P263"/>
    <mergeCell ref="N265:P265"/>
    <mergeCell ref="N266:P266"/>
    <mergeCell ref="E264:J264"/>
    <mergeCell ref="K264:L264"/>
    <mergeCell ref="N264:P264"/>
    <mergeCell ref="E265:J265"/>
    <mergeCell ref="K265:L265"/>
    <mergeCell ref="E266:J266"/>
    <mergeCell ref="K266:L266"/>
    <mergeCell ref="D267:J267"/>
    <mergeCell ref="K267:L267"/>
    <mergeCell ref="N267:P267"/>
    <mergeCell ref="D268:G268"/>
    <mergeCell ref="N268:P268"/>
    <mergeCell ref="N269:P269"/>
    <mergeCell ref="N270:P270"/>
    <mergeCell ref="N271:P271"/>
    <mergeCell ref="D272:J272"/>
    <mergeCell ref="K272:L272"/>
    <mergeCell ref="N272:P272"/>
    <mergeCell ref="D273:G273"/>
    <mergeCell ref="N273:P273"/>
    <mergeCell ref="N274:P274"/>
    <mergeCell ref="N275:P275"/>
    <mergeCell ref="N276:P276"/>
    <mergeCell ref="D277:J277"/>
    <mergeCell ref="K277:L277"/>
    <mergeCell ref="N277:P277"/>
    <mergeCell ref="K278:L278"/>
    <mergeCell ref="N278:P278"/>
    <mergeCell ref="D278:H278"/>
    <mergeCell ref="D279:J279"/>
    <mergeCell ref="K279:L279"/>
    <mergeCell ref="N279:P279"/>
    <mergeCell ref="D280:J280"/>
    <mergeCell ref="K280:L280"/>
    <mergeCell ref="N280:P280"/>
    <mergeCell ref="N282:P282"/>
    <mergeCell ref="N283:P283"/>
    <mergeCell ref="D281:J281"/>
    <mergeCell ref="K281:L281"/>
    <mergeCell ref="N281:P281"/>
    <mergeCell ref="D282:J282"/>
    <mergeCell ref="K282:L282"/>
    <mergeCell ref="D283:J283"/>
    <mergeCell ref="K283:L283"/>
    <mergeCell ref="N285:P285"/>
    <mergeCell ref="N286:P286"/>
    <mergeCell ref="D284:J284"/>
    <mergeCell ref="K284:L284"/>
    <mergeCell ref="N284:P284"/>
    <mergeCell ref="D285:J285"/>
    <mergeCell ref="K285:L285"/>
    <mergeCell ref="D286:J286"/>
    <mergeCell ref="K286:L286"/>
    <mergeCell ref="E287:J287"/>
    <mergeCell ref="K287:L287"/>
    <mergeCell ref="N287:P287"/>
    <mergeCell ref="E288:J288"/>
    <mergeCell ref="K288:L288"/>
    <mergeCell ref="N288:P288"/>
    <mergeCell ref="N289:P289"/>
    <mergeCell ref="E289:L289"/>
    <mergeCell ref="E290:J290"/>
    <mergeCell ref="K290:L290"/>
    <mergeCell ref="N290:P290"/>
    <mergeCell ref="E291:J291"/>
    <mergeCell ref="K291:L291"/>
    <mergeCell ref="N291:P291"/>
    <mergeCell ref="N293:P293"/>
    <mergeCell ref="N294:P294"/>
    <mergeCell ref="E292:J292"/>
    <mergeCell ref="K292:L292"/>
    <mergeCell ref="N292:P292"/>
    <mergeCell ref="E293:J293"/>
    <mergeCell ref="K293:L293"/>
    <mergeCell ref="E294:J294"/>
    <mergeCell ref="K294:L294"/>
  </mergeCells>
  <dataValidations>
    <dataValidation type="list" allowBlank="1" showErrorMessage="1" sqref="K63 K67 K91 K95 K119 K123 K147 K151 K175 K179 K203 K207 K231 K235 K259 K263 K287 K291 K315 K319">
      <formula1>"Yes (100%),Yes partially,No"</formula1>
    </dataValidation>
    <dataValidation type="list" allowBlank="1" showErrorMessage="1" sqref="K55:K56 K58 K60 K62 K64 K66 K68 K70:K71 K76 K83:K84 K86 K88 K90 K92 K94 K96 K98:K99 K104 K111:K112 K114 K116 K118 K120 K122 K124 K126:K127 K132 K139:K140 K142 K144 K146 K148 K150 K152 K154:K155 K160 K167:K168 K170 K172 K174 K176 K178 K180 K182:K183 K188 K195:K196 K198 K200 K202 K204 K206 K208 K210:K211 K216 K223:K224 K226 K228 K230 K232 K234 K236 K238:K239 K244 K251:K252 K254 K256 K258 K260 K262 K264 K266:K267 K272 K279:K280 K282 K284 K286 K288 K290 K292 K294:K295 K300 K307:K308 K310 K312 K314 K316 K318 K320 K322:K323 K328">
      <formula1>"not started,Collecting,Got it (not shared yet),Shared with Skipr,Blocked,N/A"</formula1>
    </dataValidation>
    <dataValidation type="list" allowBlank="1" showErrorMessage="1" sqref="K81 K109 K137 K165 K193 K221 K249 K277 K305 K333">
      <formula1>"1. no info received yet,2. info received of Skipr,3. info shared with finance colleague,4. transfer confirmation received,5. Skipr informed of transfer"</formula1>
    </dataValidation>
    <dataValidation type="list" allowBlank="1" showErrorMessage="1" sqref="K69 K97 K125 K153 K181 K209 K237 K265 K293 K321">
      <formula1>"Yes,No"</formula1>
    </dataValidation>
    <dataValidation type="list" allowBlank="1" showErrorMessage="1" sqref="K72:K75 K77:K80 K100:K103 K105:K108 K128:K131 K133:K136 K156:K159 K161:K164 K184:K187 K189:K192 K212:K215 K217:K220 K240:K243 K245:K248 K268:K271 K273:K276 K296:K299 K301:K304 K324:K327 K329:K332">
      <formula1>"Yes,No"</formula1>
    </dataValidation>
  </dataValidation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topLeftCell="E1" activePane="topRight" state="frozen"/>
      <selection activeCell="F2" sqref="F2" pane="topRight"/>
    </sheetView>
  </sheetViews>
  <sheetFormatPr customHeight="1" defaultColWidth="12.63" defaultRowHeight="15.75" outlineLevelRow="1"/>
  <cols>
    <col customWidth="1" min="1" max="1" width="7.5"/>
    <col customWidth="1" min="5" max="5" width="3.13"/>
    <col customWidth="1" min="6" max="7" width="13.13"/>
    <col customWidth="1" min="8" max="8" width="5.5"/>
    <col customWidth="1" min="9" max="10" width="13.13"/>
    <col customWidth="1" min="11" max="11" width="5.5"/>
    <col customWidth="1" min="12" max="13" width="13.13"/>
    <col customWidth="1" min="14" max="14" width="5.5"/>
    <col customWidth="1" min="15" max="16" width="13.13"/>
    <col customWidth="1" min="17" max="17" width="5.5"/>
    <col customWidth="1" min="18" max="19" width="13.13"/>
    <col customWidth="1" min="20" max="20" width="5.5"/>
    <col customWidth="1" min="21" max="22" width="13.13"/>
    <col customWidth="1" min="23" max="23" width="5.5"/>
    <col customWidth="1" min="24" max="25" width="13.13"/>
    <col customWidth="1" min="26" max="26" width="5.5"/>
    <col customWidth="1" min="27" max="28" width="13.13"/>
    <col customWidth="1" min="29" max="29" width="5.5"/>
    <col customWidth="1" min="30" max="31" width="13.13"/>
    <col customWidth="1" min="32" max="32" width="5.5"/>
    <col customWidth="1" min="33" max="34" width="13.13"/>
    <col customWidth="1" min="35" max="35" width="5.5"/>
  </cols>
  <sheetData>
    <row r="1">
      <c r="A1" s="440"/>
      <c r="B1" s="441"/>
      <c r="C1" s="442"/>
      <c r="D1" s="442"/>
      <c r="E1" s="440"/>
      <c r="F1" s="440"/>
      <c r="G1" s="440"/>
      <c r="H1" s="440"/>
      <c r="I1" s="440"/>
      <c r="J1" s="440"/>
      <c r="K1" s="440"/>
      <c r="L1" s="440"/>
      <c r="M1" s="440"/>
      <c r="N1" s="440"/>
      <c r="O1" s="440"/>
      <c r="P1" s="440"/>
      <c r="Q1" s="440"/>
      <c r="R1" s="440"/>
      <c r="S1" s="440"/>
      <c r="T1" s="440"/>
      <c r="U1" s="440"/>
      <c r="V1" s="440"/>
      <c r="W1" s="440"/>
      <c r="X1" s="440"/>
      <c r="Y1" s="440"/>
      <c r="Z1" s="440"/>
      <c r="AA1" s="440"/>
      <c r="AB1" s="440"/>
      <c r="AC1" s="440"/>
      <c r="AD1" s="440"/>
      <c r="AE1" s="440"/>
      <c r="AF1" s="440"/>
      <c r="AG1" s="440"/>
      <c r="AH1" s="440"/>
      <c r="AI1" s="440"/>
    </row>
    <row r="2">
      <c r="A2" s="443" t="s">
        <v>530</v>
      </c>
      <c r="B2" s="444" t="s">
        <v>531</v>
      </c>
      <c r="C2" s="445"/>
      <c r="D2" s="446"/>
      <c r="E2" s="440"/>
      <c r="F2" s="440"/>
      <c r="G2" s="440"/>
      <c r="H2" s="440"/>
      <c r="I2" s="440"/>
      <c r="J2" s="440"/>
      <c r="K2" s="440"/>
      <c r="L2" s="440"/>
      <c r="M2" s="440"/>
      <c r="N2" s="440"/>
      <c r="O2" s="440"/>
      <c r="P2" s="440"/>
      <c r="Q2" s="440"/>
      <c r="R2" s="440"/>
      <c r="S2" s="440"/>
      <c r="T2" s="440"/>
      <c r="U2" s="440"/>
      <c r="V2" s="440"/>
      <c r="W2" s="440"/>
      <c r="X2" s="440"/>
      <c r="Y2" s="440"/>
      <c r="Z2" s="440"/>
      <c r="AA2" s="440"/>
      <c r="AB2" s="440"/>
      <c r="AC2" s="440"/>
      <c r="AD2" s="440"/>
      <c r="AE2" s="440"/>
      <c r="AF2" s="440"/>
      <c r="AG2" s="440"/>
      <c r="AH2" s="440"/>
      <c r="AI2" s="440"/>
    </row>
    <row r="3" ht="18.0" customHeight="1">
      <c r="A3" s="447"/>
      <c r="B3" s="448"/>
      <c r="C3" s="387"/>
      <c r="D3" s="388"/>
      <c r="E3" s="440"/>
      <c r="F3" s="440"/>
      <c r="G3" s="440"/>
      <c r="H3" s="440"/>
      <c r="I3" s="440"/>
      <c r="J3" s="440"/>
      <c r="K3" s="440"/>
      <c r="L3" s="440"/>
      <c r="M3" s="440"/>
      <c r="N3" s="440"/>
      <c r="O3" s="440"/>
      <c r="P3" s="440"/>
      <c r="Q3" s="440"/>
      <c r="R3" s="440"/>
      <c r="S3" s="440"/>
      <c r="T3" s="440"/>
      <c r="U3" s="440"/>
      <c r="V3" s="440"/>
      <c r="W3" s="440"/>
      <c r="X3" s="440"/>
      <c r="Y3" s="440"/>
      <c r="Z3" s="440"/>
      <c r="AA3" s="440"/>
      <c r="AB3" s="440"/>
      <c r="AC3" s="440"/>
      <c r="AD3" s="440"/>
      <c r="AE3" s="440"/>
      <c r="AF3" s="440"/>
      <c r="AG3" s="440"/>
      <c r="AH3" s="440"/>
      <c r="AI3" s="440"/>
    </row>
    <row r="4" ht="17.25" customHeight="1">
      <c r="A4" s="440"/>
      <c r="B4" s="442"/>
      <c r="C4" s="442"/>
      <c r="D4" s="442"/>
      <c r="E4" s="440"/>
      <c r="F4" s="440"/>
      <c r="G4" s="440"/>
      <c r="H4" s="440"/>
      <c r="I4" s="440"/>
      <c r="J4" s="440"/>
      <c r="K4" s="440"/>
      <c r="L4" s="440"/>
      <c r="M4" s="440"/>
      <c r="N4" s="440"/>
      <c r="O4" s="440"/>
      <c r="P4" s="440"/>
      <c r="Q4" s="440"/>
      <c r="R4" s="440"/>
      <c r="S4" s="440"/>
      <c r="T4" s="440"/>
      <c r="U4" s="440"/>
      <c r="V4" s="440"/>
      <c r="W4" s="440"/>
      <c r="X4" s="440"/>
      <c r="Y4" s="440"/>
      <c r="Z4" s="440"/>
      <c r="AA4" s="440"/>
      <c r="AB4" s="440"/>
      <c r="AC4" s="440"/>
      <c r="AD4" s="440"/>
      <c r="AE4" s="440"/>
      <c r="AF4" s="440"/>
      <c r="AG4" s="440"/>
      <c r="AH4" s="440"/>
      <c r="AI4" s="440"/>
    </row>
    <row r="5" ht="24.0" customHeight="1">
      <c r="A5" s="449" t="s">
        <v>457</v>
      </c>
      <c r="B5" s="450" t="s">
        <v>532</v>
      </c>
      <c r="C5" s="15"/>
      <c r="D5" s="451"/>
      <c r="E5" s="452" t="s">
        <v>533</v>
      </c>
      <c r="F5" s="15"/>
      <c r="G5" s="15"/>
      <c r="H5" s="15"/>
      <c r="I5" s="15"/>
      <c r="J5" s="15"/>
      <c r="K5" s="15"/>
      <c r="L5" s="15"/>
      <c r="M5" s="15"/>
      <c r="N5" s="16"/>
      <c r="O5" s="453"/>
      <c r="P5" s="453"/>
      <c r="Q5" s="453"/>
      <c r="R5" s="453"/>
      <c r="S5" s="453"/>
      <c r="T5" s="453"/>
      <c r="U5" s="453"/>
      <c r="V5" s="453"/>
      <c r="W5" s="453"/>
      <c r="X5" s="453"/>
      <c r="Y5" s="453"/>
      <c r="Z5" s="453"/>
      <c r="AA5" s="453"/>
      <c r="AB5" s="453"/>
      <c r="AC5" s="453"/>
      <c r="AD5" s="453"/>
      <c r="AE5" s="453"/>
      <c r="AF5" s="453"/>
      <c r="AG5" s="453"/>
      <c r="AH5" s="453"/>
      <c r="AI5" s="454"/>
    </row>
    <row r="6" ht="18.75" customHeight="1">
      <c r="A6" s="455"/>
      <c r="B6" s="456"/>
      <c r="C6" s="456"/>
      <c r="D6" s="457"/>
      <c r="E6" s="458"/>
      <c r="O6" s="459"/>
      <c r="P6" s="453"/>
      <c r="Q6" s="453"/>
      <c r="R6" s="453"/>
      <c r="S6" s="453"/>
      <c r="T6" s="453"/>
      <c r="U6" s="453"/>
      <c r="V6" s="453"/>
      <c r="W6" s="453"/>
      <c r="X6" s="453"/>
      <c r="Y6" s="453"/>
      <c r="Z6" s="453"/>
      <c r="AA6" s="453"/>
      <c r="AB6" s="453"/>
      <c r="AC6" s="453"/>
      <c r="AD6" s="453"/>
      <c r="AE6" s="453"/>
      <c r="AF6" s="453"/>
      <c r="AG6" s="453"/>
      <c r="AH6" s="453"/>
      <c r="AI6" s="454"/>
    </row>
    <row r="7" ht="18.75" customHeight="1">
      <c r="A7" s="460"/>
      <c r="B7" s="461"/>
      <c r="C7" s="461"/>
      <c r="D7" s="462"/>
      <c r="E7" s="458"/>
      <c r="O7" s="459"/>
      <c r="P7" s="453"/>
      <c r="Q7" s="453"/>
      <c r="R7" s="453"/>
      <c r="S7" s="453"/>
      <c r="T7" s="453"/>
      <c r="U7" s="453"/>
      <c r="V7" s="453"/>
      <c r="W7" s="453"/>
      <c r="X7" s="453"/>
      <c r="Y7" s="453"/>
      <c r="Z7" s="453"/>
      <c r="AA7" s="453"/>
      <c r="AB7" s="453"/>
      <c r="AC7" s="453"/>
      <c r="AD7" s="453"/>
      <c r="AE7" s="453"/>
      <c r="AF7" s="453"/>
      <c r="AG7" s="453"/>
      <c r="AH7" s="453"/>
      <c r="AI7" s="454"/>
    </row>
    <row r="8" ht="18.75" customHeight="1">
      <c r="A8" s="461"/>
      <c r="B8" s="461"/>
      <c r="C8" s="461"/>
      <c r="D8" s="461"/>
      <c r="E8" s="458"/>
      <c r="O8" s="459"/>
      <c r="P8" s="453"/>
      <c r="Q8" s="453"/>
      <c r="R8" s="453"/>
      <c r="S8" s="453"/>
      <c r="T8" s="453"/>
      <c r="U8" s="453"/>
      <c r="V8" s="453"/>
      <c r="W8" s="453"/>
      <c r="X8" s="453"/>
      <c r="Y8" s="453"/>
      <c r="Z8" s="453"/>
      <c r="AA8" s="453"/>
      <c r="AB8" s="453"/>
      <c r="AC8" s="453"/>
      <c r="AD8" s="453"/>
      <c r="AE8" s="453"/>
      <c r="AF8" s="453"/>
      <c r="AG8" s="453"/>
      <c r="AH8" s="453"/>
      <c r="AI8" s="454"/>
    </row>
    <row r="9" ht="18.75" customHeight="1">
      <c r="A9" s="461"/>
      <c r="B9" s="461"/>
      <c r="C9" s="461"/>
      <c r="D9" s="461"/>
      <c r="E9" s="458"/>
      <c r="O9" s="459"/>
      <c r="P9" s="453"/>
      <c r="Q9" s="453"/>
      <c r="R9" s="453"/>
      <c r="S9" s="453"/>
      <c r="T9" s="453"/>
      <c r="U9" s="453"/>
      <c r="V9" s="453"/>
      <c r="W9" s="453"/>
      <c r="X9" s="453"/>
      <c r="Y9" s="453"/>
      <c r="Z9" s="453"/>
      <c r="AA9" s="453"/>
      <c r="AB9" s="453"/>
      <c r="AC9" s="453"/>
      <c r="AD9" s="453"/>
      <c r="AE9" s="453"/>
      <c r="AF9" s="453"/>
      <c r="AG9" s="453"/>
      <c r="AH9" s="453"/>
      <c r="AI9" s="454"/>
    </row>
    <row r="10" ht="26.25" customHeight="1">
      <c r="A10" s="463" t="s">
        <v>534</v>
      </c>
      <c r="B10" s="464" t="s">
        <v>535</v>
      </c>
      <c r="C10" s="465"/>
      <c r="D10" s="465"/>
      <c r="E10" s="466"/>
      <c r="F10" s="466"/>
      <c r="G10" s="466"/>
      <c r="H10" s="466"/>
      <c r="I10" s="466"/>
      <c r="J10" s="466"/>
      <c r="K10" s="466"/>
      <c r="L10" s="466"/>
      <c r="M10" s="466"/>
      <c r="N10" s="466"/>
      <c r="O10" s="467"/>
      <c r="P10" s="468"/>
      <c r="Q10" s="468"/>
      <c r="R10" s="468"/>
      <c r="S10" s="468"/>
      <c r="T10" s="468"/>
      <c r="U10" s="468"/>
      <c r="V10" s="468"/>
      <c r="W10" s="468"/>
      <c r="X10" s="468"/>
      <c r="Y10" s="468"/>
      <c r="Z10" s="468"/>
      <c r="AA10" s="468"/>
      <c r="AB10" s="468"/>
      <c r="AC10" s="468"/>
      <c r="AD10" s="468"/>
      <c r="AE10" s="468"/>
      <c r="AF10" s="468"/>
      <c r="AG10" s="468"/>
      <c r="AH10" s="468"/>
      <c r="AI10" s="468"/>
    </row>
    <row r="11" ht="17.25" customHeight="1">
      <c r="A11" s="469"/>
      <c r="B11" s="470" t="s">
        <v>536</v>
      </c>
      <c r="C11" s="183"/>
      <c r="D11" s="184"/>
      <c r="E11" s="471"/>
      <c r="F11" s="472" t="str">
        <f>'🤝 Client information'!G57</f>
        <v/>
      </c>
      <c r="G11" s="183"/>
      <c r="H11" s="184"/>
      <c r="I11" s="472" t="str">
        <f>'🤝 Client information'!G58</f>
        <v/>
      </c>
      <c r="J11" s="183"/>
      <c r="K11" s="184"/>
      <c r="L11" s="472" t="str">
        <f>'🤝 Client information'!G59</f>
        <v/>
      </c>
      <c r="M11" s="183"/>
      <c r="N11" s="186"/>
      <c r="O11" s="473"/>
      <c r="P11" s="473"/>
      <c r="Q11" s="473"/>
      <c r="R11" s="473"/>
      <c r="S11" s="473"/>
      <c r="T11" s="473"/>
      <c r="U11" s="473"/>
      <c r="V11" s="473"/>
      <c r="W11" s="473"/>
      <c r="X11" s="473"/>
      <c r="Y11" s="473"/>
      <c r="Z11" s="473"/>
      <c r="AA11" s="473"/>
      <c r="AB11" s="473"/>
      <c r="AC11" s="473"/>
      <c r="AD11" s="473"/>
      <c r="AE11" s="473"/>
      <c r="AF11" s="473"/>
      <c r="AG11" s="473"/>
      <c r="AH11" s="473"/>
      <c r="AI11" s="473"/>
    </row>
    <row r="12" ht="17.25" customHeight="1">
      <c r="A12" s="469"/>
      <c r="B12" s="474" t="s">
        <v>537</v>
      </c>
      <c r="C12" s="189"/>
      <c r="D12" s="190"/>
      <c r="E12" s="475"/>
      <c r="F12" s="476" t="str">
        <f>'🤝 Client information'!F95</f>
        <v/>
      </c>
      <c r="G12" s="190"/>
      <c r="H12" s="477"/>
      <c r="I12" s="469" t="str">
        <f>'🤝 Client information'!H95</f>
        <v/>
      </c>
      <c r="J12" s="469"/>
      <c r="K12" s="469"/>
      <c r="L12" s="469"/>
      <c r="M12" s="469"/>
      <c r="N12" s="478"/>
      <c r="O12" s="479"/>
      <c r="P12" s="479"/>
      <c r="Q12" s="479"/>
      <c r="R12" s="479"/>
      <c r="S12" s="479"/>
      <c r="T12" s="479"/>
      <c r="U12" s="479"/>
      <c r="V12" s="479"/>
      <c r="W12" s="479"/>
      <c r="X12" s="479"/>
      <c r="Y12" s="479"/>
      <c r="Z12" s="479"/>
      <c r="AA12" s="479"/>
      <c r="AB12" s="479"/>
      <c r="AC12" s="479"/>
      <c r="AD12" s="479"/>
      <c r="AE12" s="479"/>
      <c r="AF12" s="479"/>
      <c r="AG12" s="479"/>
      <c r="AH12" s="479"/>
      <c r="AI12" s="479"/>
    </row>
    <row r="13" ht="17.25" customHeight="1">
      <c r="A13" s="469"/>
      <c r="B13" s="480"/>
      <c r="C13" s="481"/>
      <c r="D13" s="481" t="s">
        <v>538</v>
      </c>
      <c r="E13" s="482"/>
      <c r="F13" s="483" t="str">
        <f>'🤝 Client information'!F130</f>
        <v> </v>
      </c>
      <c r="G13" s="190"/>
      <c r="H13" s="477"/>
      <c r="I13" s="476" t="str">
        <f>'🤝 Client information'!H130</f>
        <v>Customer Success Manager</v>
      </c>
      <c r="J13" s="475"/>
      <c r="K13" s="476"/>
      <c r="L13" s="190"/>
      <c r="M13" s="469"/>
      <c r="N13" s="478"/>
      <c r="O13" s="479"/>
      <c r="P13" s="479"/>
      <c r="Q13" s="479"/>
      <c r="R13" s="479"/>
      <c r="S13" s="479"/>
      <c r="T13" s="479"/>
      <c r="U13" s="479"/>
      <c r="V13" s="479"/>
      <c r="W13" s="479"/>
      <c r="X13" s="479"/>
      <c r="Y13" s="479"/>
      <c r="Z13" s="479"/>
      <c r="AA13" s="479"/>
      <c r="AB13" s="479"/>
      <c r="AC13" s="479"/>
      <c r="AD13" s="479"/>
      <c r="AE13" s="479"/>
      <c r="AF13" s="479"/>
      <c r="AG13" s="479"/>
      <c r="AH13" s="479"/>
      <c r="AI13" s="479"/>
    </row>
    <row r="14" ht="17.25" customHeight="1">
      <c r="A14" s="477"/>
      <c r="B14" s="474" t="s">
        <v>539</v>
      </c>
      <c r="C14" s="189"/>
      <c r="D14" s="190"/>
      <c r="E14" s="475"/>
      <c r="F14" s="469">
        <f>'🤝 Client information'!L90</f>
        <v>0</v>
      </c>
      <c r="G14" s="477"/>
      <c r="H14" s="477"/>
      <c r="I14" s="477"/>
      <c r="J14" s="477"/>
      <c r="K14" s="477"/>
      <c r="L14" s="477"/>
      <c r="M14" s="477"/>
      <c r="N14" s="484"/>
      <c r="O14" s="473"/>
      <c r="P14" s="473"/>
      <c r="Q14" s="473"/>
      <c r="R14" s="473"/>
      <c r="S14" s="473"/>
      <c r="T14" s="473"/>
      <c r="U14" s="473"/>
      <c r="V14" s="473"/>
      <c r="W14" s="473"/>
      <c r="X14" s="473"/>
      <c r="Y14" s="473"/>
      <c r="Z14" s="473"/>
      <c r="AA14" s="473"/>
      <c r="AB14" s="473"/>
      <c r="AC14" s="473"/>
      <c r="AD14" s="473"/>
      <c r="AE14" s="473"/>
      <c r="AF14" s="473"/>
      <c r="AG14" s="473"/>
      <c r="AH14" s="473"/>
      <c r="AI14" s="473"/>
    </row>
    <row r="15" ht="17.25" customHeight="1">
      <c r="A15" s="477"/>
      <c r="B15" s="474" t="s">
        <v>540</v>
      </c>
      <c r="C15" s="189"/>
      <c r="D15" s="190"/>
      <c r="E15" s="475"/>
      <c r="F15" s="469">
        <f>'🤝 Client information'!F171</f>
        <v>0</v>
      </c>
      <c r="G15" s="477"/>
      <c r="H15" s="477"/>
      <c r="I15" s="477"/>
      <c r="J15" s="477"/>
      <c r="K15" s="477"/>
      <c r="L15" s="477"/>
      <c r="M15" s="477"/>
      <c r="N15" s="484"/>
      <c r="O15" s="473"/>
      <c r="P15" s="473"/>
      <c r="Q15" s="473"/>
      <c r="R15" s="473"/>
      <c r="S15" s="473"/>
      <c r="T15" s="473"/>
      <c r="U15" s="473"/>
      <c r="V15" s="473"/>
      <c r="W15" s="473"/>
      <c r="X15" s="473"/>
      <c r="Y15" s="473"/>
      <c r="Z15" s="473"/>
      <c r="AA15" s="473"/>
      <c r="AB15" s="473"/>
      <c r="AC15" s="473"/>
      <c r="AD15" s="473"/>
      <c r="AE15" s="473"/>
      <c r="AF15" s="473"/>
      <c r="AG15" s="473"/>
      <c r="AH15" s="473"/>
      <c r="AI15" s="473"/>
    </row>
    <row r="16" ht="17.25" customHeight="1">
      <c r="A16" s="477"/>
      <c r="B16" s="480"/>
      <c r="C16" s="481"/>
      <c r="D16" s="481" t="s">
        <v>541</v>
      </c>
      <c r="E16" s="475"/>
      <c r="F16" s="469">
        <f>F37+I37+L37+O37+R37</f>
        <v>0</v>
      </c>
      <c r="G16" s="477"/>
      <c r="H16" s="477"/>
      <c r="I16" s="477"/>
      <c r="J16" s="477"/>
      <c r="K16" s="477"/>
      <c r="L16" s="477"/>
      <c r="M16" s="477"/>
      <c r="N16" s="484"/>
      <c r="O16" s="473"/>
      <c r="P16" s="473"/>
      <c r="Q16" s="473"/>
      <c r="R16" s="473"/>
      <c r="S16" s="473"/>
      <c r="T16" s="473"/>
      <c r="U16" s="473"/>
      <c r="V16" s="473"/>
      <c r="W16" s="473"/>
      <c r="X16" s="473"/>
      <c r="Y16" s="473"/>
      <c r="Z16" s="473"/>
      <c r="AA16" s="473"/>
      <c r="AB16" s="473"/>
      <c r="AC16" s="473"/>
      <c r="AD16" s="473"/>
      <c r="AE16" s="473"/>
      <c r="AF16" s="473"/>
      <c r="AG16" s="473"/>
      <c r="AH16" s="473"/>
      <c r="AI16" s="473"/>
    </row>
    <row r="17" ht="17.25" customHeight="1">
      <c r="A17" s="477"/>
      <c r="B17" s="480"/>
      <c r="C17" s="481"/>
      <c r="D17" s="481" t="s">
        <v>542</v>
      </c>
      <c r="E17" s="475"/>
      <c r="F17" s="469" t="str">
        <f>'🤝 Client information'!O206</f>
        <v/>
      </c>
      <c r="G17" s="477"/>
      <c r="H17" s="477"/>
      <c r="I17" s="477"/>
      <c r="J17" s="477"/>
      <c r="K17" s="477"/>
      <c r="L17" s="477"/>
      <c r="M17" s="477"/>
      <c r="N17" s="484"/>
      <c r="O17" s="473"/>
      <c r="P17" s="473"/>
      <c r="Q17" s="473"/>
      <c r="R17" s="473"/>
      <c r="S17" s="473"/>
      <c r="T17" s="473"/>
      <c r="U17" s="473"/>
      <c r="V17" s="473"/>
      <c r="W17" s="473"/>
      <c r="X17" s="473"/>
      <c r="Y17" s="473"/>
      <c r="Z17" s="473"/>
      <c r="AA17" s="473"/>
      <c r="AB17" s="473"/>
      <c r="AC17" s="473"/>
      <c r="AD17" s="473"/>
      <c r="AE17" s="473"/>
      <c r="AF17" s="473"/>
      <c r="AG17" s="473"/>
      <c r="AH17" s="473"/>
      <c r="AI17" s="473"/>
    </row>
    <row r="18" ht="17.25" customHeight="1">
      <c r="A18" s="477"/>
      <c r="B18" s="474" t="s">
        <v>543</v>
      </c>
      <c r="C18" s="189"/>
      <c r="D18" s="190"/>
      <c r="E18" s="475"/>
      <c r="F18" s="469" t="str">
        <f>'🤝 Client information'!O185</f>
        <v/>
      </c>
      <c r="G18" s="469" t="str">
        <f>'🤝 Client information'!J194</f>
        <v>teambackoffice.skipr+...@smartelia.com</v>
      </c>
      <c r="H18" s="477"/>
      <c r="I18" s="477"/>
      <c r="J18" s="477"/>
      <c r="K18" s="477"/>
      <c r="L18" s="477"/>
      <c r="M18" s="477"/>
      <c r="N18" s="484"/>
      <c r="O18" s="473"/>
      <c r="P18" s="473"/>
      <c r="Q18" s="473"/>
      <c r="R18" s="473"/>
      <c r="S18" s="473"/>
      <c r="T18" s="473"/>
      <c r="U18" s="473"/>
      <c r="V18" s="473"/>
      <c r="W18" s="473"/>
      <c r="X18" s="473"/>
      <c r="Y18" s="473"/>
      <c r="Z18" s="473"/>
      <c r="AA18" s="473"/>
      <c r="AB18" s="473"/>
      <c r="AC18" s="473"/>
      <c r="AD18" s="473"/>
      <c r="AE18" s="473"/>
      <c r="AF18" s="473"/>
      <c r="AG18" s="473"/>
      <c r="AH18" s="473"/>
      <c r="AI18" s="473"/>
    </row>
    <row r="19" ht="17.25" customHeight="1">
      <c r="A19" s="477"/>
      <c r="B19" s="474" t="s">
        <v>544</v>
      </c>
      <c r="C19" s="189"/>
      <c r="D19" s="190"/>
      <c r="E19" s="475"/>
      <c r="F19" s="469" t="str">
        <f>'🤝 Client information'!O195</f>
        <v/>
      </c>
      <c r="G19" s="477"/>
      <c r="H19" s="477"/>
      <c r="I19" s="477"/>
      <c r="J19" s="477"/>
      <c r="K19" s="477"/>
      <c r="L19" s="477"/>
      <c r="M19" s="477"/>
      <c r="N19" s="484"/>
      <c r="O19" s="473"/>
      <c r="P19" s="473"/>
      <c r="Q19" s="473"/>
      <c r="R19" s="473"/>
      <c r="S19" s="473"/>
      <c r="T19" s="473"/>
      <c r="U19" s="473"/>
      <c r="V19" s="473"/>
      <c r="W19" s="473"/>
      <c r="X19" s="473"/>
      <c r="Y19" s="473"/>
      <c r="Z19" s="473"/>
      <c r="AA19" s="473"/>
      <c r="AB19" s="473"/>
      <c r="AC19" s="473"/>
      <c r="AD19" s="473"/>
      <c r="AE19" s="473"/>
      <c r="AF19" s="473"/>
      <c r="AG19" s="473"/>
      <c r="AH19" s="473"/>
      <c r="AI19" s="473"/>
    </row>
    <row r="20" ht="17.25" customHeight="1">
      <c r="A20" s="477"/>
      <c r="B20" s="474" t="s">
        <v>131</v>
      </c>
      <c r="C20" s="189"/>
      <c r="D20" s="190"/>
      <c r="E20" s="475"/>
      <c r="F20" s="469" t="str">
        <f>'🤝 Client information'!O196</f>
        <v/>
      </c>
      <c r="G20" s="485" t="str">
        <f>IF(ISBLANK(F20),"","Keep in mind manual changes are overruled by the User Data Management")</f>
        <v/>
      </c>
      <c r="H20" s="477"/>
      <c r="I20" s="477"/>
      <c r="J20" s="477"/>
      <c r="K20" s="477"/>
      <c r="L20" s="477"/>
      <c r="M20" s="477"/>
      <c r="N20" s="484"/>
      <c r="O20" s="473"/>
      <c r="P20" s="473"/>
      <c r="Q20" s="473"/>
      <c r="R20" s="473"/>
      <c r="S20" s="473"/>
      <c r="T20" s="473"/>
      <c r="U20" s="473"/>
      <c r="V20" s="473"/>
      <c r="W20" s="473"/>
      <c r="X20" s="473"/>
      <c r="Y20" s="473"/>
      <c r="Z20" s="473"/>
      <c r="AA20" s="473"/>
      <c r="AB20" s="473"/>
      <c r="AC20" s="473"/>
      <c r="AD20" s="473"/>
      <c r="AE20" s="473"/>
      <c r="AF20" s="473"/>
      <c r="AG20" s="473"/>
      <c r="AH20" s="473"/>
      <c r="AI20" s="473"/>
    </row>
    <row r="21" ht="17.25" customHeight="1" collapsed="1">
      <c r="A21" s="477"/>
      <c r="B21" s="474" t="s">
        <v>545</v>
      </c>
      <c r="C21" s="189"/>
      <c r="D21" s="190"/>
      <c r="E21" s="475"/>
      <c r="F21" s="469" t="str">
        <f>'🤝 Client information'!O197</f>
        <v/>
      </c>
      <c r="G21" s="477"/>
      <c r="H21" s="477"/>
      <c r="I21" s="477"/>
      <c r="J21" s="477"/>
      <c r="K21" s="477"/>
      <c r="L21" s="477"/>
      <c r="M21" s="477"/>
      <c r="N21" s="484"/>
      <c r="O21" s="473"/>
      <c r="P21" s="473"/>
      <c r="Q21" s="473"/>
      <c r="R21" s="473"/>
      <c r="S21" s="473"/>
      <c r="T21" s="473"/>
      <c r="U21" s="473"/>
      <c r="V21" s="473"/>
      <c r="W21" s="473"/>
      <c r="X21" s="473"/>
      <c r="Y21" s="473"/>
      <c r="Z21" s="473"/>
      <c r="AA21" s="473"/>
      <c r="AB21" s="473"/>
      <c r="AC21" s="473"/>
      <c r="AD21" s="473"/>
      <c r="AE21" s="473"/>
      <c r="AF21" s="473"/>
      <c r="AG21" s="473"/>
      <c r="AH21" s="473"/>
      <c r="AI21" s="473"/>
    </row>
    <row r="22" ht="17.25" hidden="1" customHeight="1" outlineLevel="1">
      <c r="A22" s="486"/>
      <c r="B22" s="487" t="s">
        <v>546</v>
      </c>
      <c r="C22" s="488"/>
      <c r="D22" s="489"/>
      <c r="E22" s="490"/>
      <c r="F22" s="491" t="str">
        <f>'🤝 Client information'!O199</f>
        <v/>
      </c>
      <c r="G22" s="486"/>
      <c r="H22" s="486"/>
      <c r="I22" s="486"/>
      <c r="J22" s="486"/>
      <c r="K22" s="486"/>
      <c r="L22" s="486"/>
      <c r="M22" s="486"/>
      <c r="N22" s="492"/>
      <c r="O22" s="473"/>
      <c r="P22" s="473"/>
      <c r="Q22" s="473"/>
      <c r="R22" s="473"/>
      <c r="S22" s="473"/>
      <c r="T22" s="473"/>
      <c r="U22" s="473"/>
      <c r="V22" s="473"/>
      <c r="W22" s="473"/>
      <c r="X22" s="473"/>
      <c r="Y22" s="473"/>
      <c r="Z22" s="473"/>
      <c r="AA22" s="473"/>
      <c r="AB22" s="473"/>
      <c r="AC22" s="473"/>
      <c r="AD22" s="473"/>
      <c r="AE22" s="473"/>
      <c r="AF22" s="473"/>
      <c r="AG22" s="473"/>
      <c r="AH22" s="473"/>
      <c r="AI22" s="473"/>
    </row>
    <row r="23" ht="17.25" hidden="1" customHeight="1" outlineLevel="1">
      <c r="A23" s="486"/>
      <c r="B23" s="487" t="s">
        <v>547</v>
      </c>
      <c r="C23" s="488"/>
      <c r="D23" s="489"/>
      <c r="E23" s="490"/>
      <c r="F23" s="491" t="str">
        <f>'🤝 Client information'!O200</f>
        <v/>
      </c>
      <c r="G23" s="486"/>
      <c r="H23" s="486"/>
      <c r="I23" s="486"/>
      <c r="J23" s="486"/>
      <c r="K23" s="486"/>
      <c r="L23" s="486"/>
      <c r="M23" s="486"/>
      <c r="N23" s="492"/>
      <c r="O23" s="473"/>
      <c r="P23" s="473"/>
      <c r="Q23" s="473"/>
      <c r="R23" s="473"/>
      <c r="S23" s="473"/>
      <c r="T23" s="473"/>
      <c r="U23" s="473"/>
      <c r="V23" s="473"/>
      <c r="W23" s="473"/>
      <c r="X23" s="473"/>
      <c r="Y23" s="473"/>
      <c r="Z23" s="473"/>
      <c r="AA23" s="473"/>
      <c r="AB23" s="473"/>
      <c r="AC23" s="473"/>
      <c r="AD23" s="473"/>
      <c r="AE23" s="473"/>
      <c r="AF23" s="473"/>
      <c r="AG23" s="473"/>
      <c r="AH23" s="473"/>
      <c r="AI23" s="473"/>
    </row>
    <row r="24" ht="17.25" hidden="1" customHeight="1" outlineLevel="1">
      <c r="A24" s="486"/>
      <c r="B24" s="493"/>
      <c r="C24" s="493"/>
      <c r="D24" s="493" t="s">
        <v>548</v>
      </c>
      <c r="E24" s="490"/>
      <c r="F24" s="491" t="str">
        <f>'🤝 Client information'!O201</f>
        <v/>
      </c>
      <c r="G24" s="486"/>
      <c r="H24" s="486"/>
      <c r="I24" s="486"/>
      <c r="J24" s="486"/>
      <c r="K24" s="486"/>
      <c r="L24" s="486"/>
      <c r="M24" s="486"/>
      <c r="N24" s="492"/>
      <c r="O24" s="473"/>
      <c r="P24" s="473"/>
      <c r="Q24" s="473"/>
      <c r="R24" s="473"/>
      <c r="S24" s="473"/>
      <c r="T24" s="473"/>
      <c r="U24" s="473"/>
      <c r="V24" s="473"/>
      <c r="W24" s="473"/>
      <c r="X24" s="473"/>
      <c r="Y24" s="473"/>
      <c r="Z24" s="473"/>
      <c r="AA24" s="473"/>
      <c r="AB24" s="473"/>
      <c r="AC24" s="473"/>
      <c r="AD24" s="473"/>
      <c r="AE24" s="473"/>
      <c r="AF24" s="473"/>
      <c r="AG24" s="473"/>
      <c r="AH24" s="473"/>
      <c r="AI24" s="473"/>
    </row>
    <row r="25" ht="17.25" customHeight="1">
      <c r="A25" s="494"/>
      <c r="B25" s="495" t="s">
        <v>549</v>
      </c>
      <c r="C25" s="195"/>
      <c r="D25" s="196"/>
      <c r="E25" s="496"/>
      <c r="F25" s="497" t="str">
        <f>'🤝 Client information'!O204</f>
        <v/>
      </c>
      <c r="G25" s="494"/>
      <c r="H25" s="494"/>
      <c r="I25" s="494"/>
      <c r="J25" s="494"/>
      <c r="K25" s="494"/>
      <c r="L25" s="494"/>
      <c r="M25" s="494"/>
      <c r="N25" s="498"/>
      <c r="O25" s="499"/>
      <c r="P25" s="499"/>
      <c r="Q25" s="499"/>
      <c r="R25" s="499"/>
      <c r="S25" s="499"/>
      <c r="T25" s="499"/>
      <c r="U25" s="499"/>
      <c r="V25" s="499"/>
      <c r="W25" s="499"/>
      <c r="X25" s="499"/>
      <c r="Y25" s="499"/>
      <c r="Z25" s="499"/>
      <c r="AA25" s="499"/>
      <c r="AB25" s="499"/>
      <c r="AC25" s="499"/>
      <c r="AD25" s="499"/>
      <c r="AE25" s="499"/>
      <c r="AF25" s="499"/>
      <c r="AG25" s="499"/>
      <c r="AH25" s="499"/>
      <c r="AI25" s="499"/>
    </row>
    <row r="26" ht="17.25" customHeight="1">
      <c r="A26" s="27"/>
      <c r="B26" s="317"/>
      <c r="C26" s="317"/>
      <c r="D26" s="31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row>
    <row r="27" ht="28.5" customHeight="1">
      <c r="A27" s="500" t="s">
        <v>550</v>
      </c>
      <c r="B27" s="501" t="s">
        <v>551</v>
      </c>
      <c r="C27" s="502"/>
      <c r="D27" s="502"/>
      <c r="E27" s="503"/>
      <c r="F27" s="504" t="s">
        <v>552</v>
      </c>
      <c r="G27" s="505"/>
      <c r="H27" s="506"/>
      <c r="I27" s="506"/>
      <c r="J27" s="506"/>
      <c r="K27" s="506"/>
      <c r="L27" s="506"/>
      <c r="M27" s="506"/>
      <c r="N27" s="506"/>
      <c r="O27" s="506"/>
      <c r="P27" s="506"/>
      <c r="Q27" s="506"/>
      <c r="R27" s="506"/>
      <c r="S27" s="506"/>
      <c r="T27" s="506"/>
      <c r="U27" s="506"/>
      <c r="V27" s="506"/>
      <c r="W27" s="506"/>
      <c r="X27" s="506"/>
      <c r="Y27" s="506"/>
      <c r="Z27" s="506"/>
      <c r="AA27" s="506"/>
      <c r="AB27" s="506"/>
      <c r="AC27" s="506"/>
      <c r="AD27" s="506"/>
      <c r="AE27" s="506"/>
      <c r="AF27" s="506"/>
      <c r="AG27" s="506"/>
      <c r="AH27" s="506"/>
      <c r="AI27" s="507"/>
    </row>
    <row r="28" ht="17.25" customHeight="1">
      <c r="A28" s="508"/>
      <c r="B28" s="509" t="s">
        <v>553</v>
      </c>
      <c r="C28" s="510"/>
      <c r="D28" s="511"/>
      <c r="E28" s="508"/>
      <c r="F28" s="512" t="str">
        <f>'🤝 Client information'!C80</f>
        <v/>
      </c>
      <c r="G28" s="511"/>
      <c r="H28" s="508"/>
      <c r="I28" s="512" t="str">
        <f>'🤝 Client information'!C81</f>
        <v/>
      </c>
      <c r="J28" s="511"/>
      <c r="K28" s="508"/>
      <c r="L28" s="512" t="str">
        <f>'🤝 Client information'!C82</f>
        <v/>
      </c>
      <c r="M28" s="511"/>
      <c r="N28" s="508"/>
      <c r="O28" s="512" t="str">
        <f>'🤝 Client information'!C83</f>
        <v/>
      </c>
      <c r="P28" s="511"/>
      <c r="Q28" s="508"/>
      <c r="R28" s="512" t="str">
        <f>'🤝 Client information'!C84</f>
        <v/>
      </c>
      <c r="S28" s="511"/>
      <c r="T28" s="508"/>
      <c r="U28" s="512" t="str">
        <f>'🤝 Client information'!C85</f>
        <v/>
      </c>
      <c r="V28" s="511"/>
      <c r="W28" s="508"/>
      <c r="X28" s="512" t="str">
        <f>'🤝 Client information'!C86</f>
        <v/>
      </c>
      <c r="Y28" s="511"/>
      <c r="Z28" s="512"/>
      <c r="AA28" s="512" t="str">
        <f>'🤝 Client information'!C87</f>
        <v/>
      </c>
      <c r="AB28" s="511"/>
      <c r="AC28" s="508"/>
      <c r="AD28" s="512" t="str">
        <f>'🤝 Client information'!C88</f>
        <v/>
      </c>
      <c r="AE28" s="511"/>
      <c r="AF28" s="508"/>
      <c r="AG28" s="512" t="str">
        <f>'🤝 Client information'!$C89</f>
        <v/>
      </c>
      <c r="AH28" s="511"/>
      <c r="AI28" s="513"/>
    </row>
    <row r="29" ht="17.25" customHeight="1">
      <c r="A29" s="479"/>
      <c r="B29" s="514" t="s">
        <v>554</v>
      </c>
      <c r="C29" s="515"/>
      <c r="D29" s="516"/>
      <c r="E29" s="479"/>
      <c r="F29" s="517" t="str">
        <f>'🤝 Client information'!M80</f>
        <v/>
      </c>
      <c r="G29" s="516"/>
      <c r="H29" s="479"/>
      <c r="I29" s="517" t="str">
        <f>'🤝 Client information'!M81</f>
        <v/>
      </c>
      <c r="J29" s="516"/>
      <c r="K29" s="479"/>
      <c r="L29" s="517" t="str">
        <f>'🤝 Client information'!M82</f>
        <v/>
      </c>
      <c r="M29" s="516"/>
      <c r="N29" s="479"/>
      <c r="O29" s="517" t="str">
        <f>'🤝 Client information'!M83</f>
        <v/>
      </c>
      <c r="P29" s="516"/>
      <c r="Q29" s="479"/>
      <c r="R29" s="517" t="str">
        <f>'🤝 Client information'!M84</f>
        <v/>
      </c>
      <c r="S29" s="516"/>
      <c r="T29" s="479"/>
      <c r="U29" s="517" t="str">
        <f>'🤝 Client information'!M85</f>
        <v/>
      </c>
      <c r="V29" s="516"/>
      <c r="W29" s="479"/>
      <c r="X29" s="517" t="str">
        <f>'🤝 Client information'!M86</f>
        <v/>
      </c>
      <c r="Y29" s="516"/>
      <c r="Z29" s="517"/>
      <c r="AA29" s="517" t="str">
        <f>'🤝 Client information'!M87</f>
        <v/>
      </c>
      <c r="AB29" s="516"/>
      <c r="AC29" s="479"/>
      <c r="AD29" s="517" t="str">
        <f>'🤝 Client information'!M88</f>
        <v/>
      </c>
      <c r="AE29" s="516"/>
      <c r="AF29" s="479"/>
      <c r="AG29" s="517" t="str">
        <f>'🤝 Client information'!M89</f>
        <v/>
      </c>
      <c r="AH29" s="516"/>
      <c r="AI29" s="479"/>
    </row>
    <row r="30" ht="17.25" customHeight="1">
      <c r="A30" s="518"/>
      <c r="B30" s="519" t="s">
        <v>52</v>
      </c>
      <c r="C30" s="510"/>
      <c r="D30" s="511"/>
      <c r="E30" s="518"/>
      <c r="F30" s="520" t="str">
        <f>'🤝 Client information'!O80</f>
        <v/>
      </c>
      <c r="G30" s="511"/>
      <c r="H30" s="518"/>
      <c r="I30" s="520" t="str">
        <f>'🤝 Client information'!O81</f>
        <v/>
      </c>
      <c r="J30" s="511"/>
      <c r="K30" s="518"/>
      <c r="L30" s="520" t="str">
        <f>'🤝 Client information'!O82</f>
        <v/>
      </c>
      <c r="M30" s="511"/>
      <c r="N30" s="518"/>
      <c r="O30" s="520" t="str">
        <f>'🤝 Client information'!O83</f>
        <v/>
      </c>
      <c r="P30" s="511"/>
      <c r="Q30" s="518"/>
      <c r="R30" s="520" t="str">
        <f>'🤝 Client information'!O84</f>
        <v/>
      </c>
      <c r="S30" s="511"/>
      <c r="T30" s="518"/>
      <c r="U30" s="520" t="str">
        <f>'🤝 Client information'!O85</f>
        <v/>
      </c>
      <c r="V30" s="511"/>
      <c r="W30" s="518"/>
      <c r="X30" s="520" t="str">
        <f>'🤝 Client information'!O86</f>
        <v/>
      </c>
      <c r="Y30" s="511"/>
      <c r="Z30" s="520"/>
      <c r="AA30" s="520" t="str">
        <f>'🤝 Client information'!O87</f>
        <v/>
      </c>
      <c r="AB30" s="511"/>
      <c r="AC30" s="518"/>
      <c r="AD30" s="520" t="str">
        <f>'🤝 Client information'!O88</f>
        <v/>
      </c>
      <c r="AE30" s="511"/>
      <c r="AF30" s="518"/>
      <c r="AG30" s="520" t="str">
        <f>'🤝 Client information'!O89</f>
        <v/>
      </c>
      <c r="AH30" s="511"/>
      <c r="AI30" s="518"/>
    </row>
    <row r="31" ht="17.25" customHeight="1">
      <c r="A31" s="479"/>
      <c r="B31" s="521"/>
      <c r="C31" s="521"/>
      <c r="D31" s="521"/>
      <c r="E31" s="479"/>
      <c r="F31" s="479"/>
      <c r="G31" s="479"/>
      <c r="H31" s="479"/>
      <c r="I31" s="479"/>
      <c r="J31" s="479"/>
      <c r="K31" s="479"/>
      <c r="L31" s="479"/>
      <c r="M31" s="479"/>
      <c r="N31" s="479"/>
      <c r="O31" s="479"/>
      <c r="P31" s="479"/>
      <c r="Q31" s="479"/>
      <c r="R31" s="479"/>
      <c r="S31" s="479"/>
      <c r="T31" s="479"/>
      <c r="U31" s="479"/>
      <c r="V31" s="479"/>
      <c r="W31" s="479"/>
      <c r="X31" s="479"/>
      <c r="Y31" s="479"/>
      <c r="Z31" s="517"/>
      <c r="AA31" s="479"/>
      <c r="AB31" s="479"/>
      <c r="AC31" s="479"/>
      <c r="AD31" s="479"/>
      <c r="AE31" s="479"/>
      <c r="AF31" s="479"/>
      <c r="AG31" s="517"/>
      <c r="AH31" s="522"/>
      <c r="AI31" s="479"/>
    </row>
    <row r="32" ht="27.75" customHeight="1">
      <c r="A32" s="523" t="s">
        <v>150</v>
      </c>
      <c r="B32" s="501" t="s">
        <v>555</v>
      </c>
      <c r="C32" s="502"/>
      <c r="D32" s="502"/>
      <c r="E32" s="524"/>
      <c r="F32" s="525" t="str">
        <f>IF(ISBLANK(F34),"","(1)")</f>
        <v/>
      </c>
      <c r="G32" s="526"/>
      <c r="H32" s="527"/>
      <c r="I32" s="525" t="str">
        <f>IF(ISBLANK(I34),"","(2)")</f>
        <v/>
      </c>
      <c r="J32" s="526"/>
      <c r="K32" s="527"/>
      <c r="L32" s="525" t="str">
        <f>IF(ISBLANK(L34),"","(3)")</f>
        <v/>
      </c>
      <c r="M32" s="526"/>
      <c r="N32" s="527"/>
      <c r="O32" s="525" t="str">
        <f>IF(ISBLANK(O34),"","(4)")</f>
        <v/>
      </c>
      <c r="P32" s="526"/>
      <c r="Q32" s="527"/>
      <c r="R32" s="525" t="str">
        <f>IF(ISBLANK(R34),"","(5)")</f>
        <v/>
      </c>
      <c r="S32" s="526"/>
      <c r="T32" s="506"/>
      <c r="U32" s="506"/>
      <c r="V32" s="506"/>
      <c r="W32" s="506"/>
      <c r="X32" s="506"/>
      <c r="Y32" s="506"/>
      <c r="Z32" s="506"/>
      <c r="AA32" s="506"/>
      <c r="AB32" s="506"/>
      <c r="AC32" s="506"/>
      <c r="AD32" s="506"/>
      <c r="AE32" s="506"/>
      <c r="AF32" s="506"/>
      <c r="AG32" s="506"/>
      <c r="AH32" s="506"/>
      <c r="AI32" s="507"/>
    </row>
    <row r="33" ht="17.25" customHeight="1">
      <c r="A33" s="528"/>
      <c r="B33" s="509" t="s">
        <v>556</v>
      </c>
      <c r="C33" s="529"/>
      <c r="D33" s="530"/>
      <c r="E33" s="531"/>
      <c r="F33" s="532" t="str">
        <f>'🚀 Mobility program(s)'!L39</f>
        <v/>
      </c>
      <c r="G33" s="533"/>
      <c r="H33" s="528"/>
      <c r="I33" s="532" t="str">
        <f>'🚀 Mobility program(s)'!L133</f>
        <v/>
      </c>
      <c r="J33" s="533"/>
      <c r="K33" s="528"/>
      <c r="L33" s="532" t="str">
        <f>'🚀 Mobility program(s)'!L227</f>
        <v/>
      </c>
      <c r="M33" s="533"/>
      <c r="N33" s="534"/>
      <c r="O33" s="532" t="str">
        <f>'🚀 Mobility program(s)'!L321</f>
        <v/>
      </c>
      <c r="P33" s="533"/>
      <c r="Q33" s="534"/>
      <c r="R33" s="532" t="str">
        <f>'🚀 Mobility program(s)'!L415</f>
        <v/>
      </c>
      <c r="S33" s="533"/>
      <c r="T33" s="535"/>
      <c r="U33" s="536"/>
      <c r="V33" s="533"/>
      <c r="W33" s="535"/>
      <c r="X33" s="536"/>
      <c r="Y33" s="533"/>
      <c r="Z33" s="535"/>
      <c r="AA33" s="536"/>
      <c r="AB33" s="533"/>
      <c r="AC33" s="535"/>
      <c r="AD33" s="536"/>
      <c r="AE33" s="533"/>
      <c r="AF33" s="535"/>
      <c r="AG33" s="536"/>
      <c r="AH33" s="533"/>
      <c r="AI33" s="537"/>
    </row>
    <row r="34" ht="17.25" customHeight="1">
      <c r="A34" s="538"/>
      <c r="B34" s="539" t="s">
        <v>557</v>
      </c>
      <c r="C34" s="515"/>
      <c r="D34" s="516"/>
      <c r="E34" s="540"/>
      <c r="F34" s="540" t="str">
        <f>'🚀 Mobility program(s)'!I38</f>
        <v/>
      </c>
      <c r="G34" s="541"/>
      <c r="H34" s="538"/>
      <c r="I34" s="540" t="str">
        <f>'🚀 Mobility program(s)'!I132</f>
        <v/>
      </c>
      <c r="J34" s="541"/>
      <c r="K34" s="538"/>
      <c r="L34" s="540" t="str">
        <f>'🚀 Mobility program(s)'!I226</f>
        <v/>
      </c>
      <c r="M34" s="541"/>
      <c r="N34" s="538"/>
      <c r="O34" s="540" t="str">
        <f>'🚀 Mobility program(s)'!I320</f>
        <v/>
      </c>
      <c r="P34" s="541"/>
      <c r="Q34" s="538"/>
      <c r="R34" s="540" t="str">
        <f>'🚀 Mobility program(s)'!I414</f>
        <v/>
      </c>
      <c r="S34" s="541"/>
      <c r="T34" s="538"/>
      <c r="U34" s="538"/>
      <c r="V34" s="538"/>
      <c r="W34" s="538"/>
      <c r="X34" s="538"/>
      <c r="Y34" s="538"/>
      <c r="Z34" s="538"/>
      <c r="AA34" s="538"/>
      <c r="AB34" s="538"/>
      <c r="AC34" s="538"/>
      <c r="AD34" s="538"/>
      <c r="AE34" s="538"/>
      <c r="AF34" s="538"/>
      <c r="AG34" s="538"/>
      <c r="AH34" s="538"/>
      <c r="AI34" s="542"/>
    </row>
    <row r="35" ht="17.25" customHeight="1">
      <c r="A35" s="543"/>
      <c r="B35" s="544" t="s">
        <v>558</v>
      </c>
      <c r="C35" s="510"/>
      <c r="D35" s="511"/>
      <c r="E35" s="545"/>
      <c r="F35" s="546" t="str">
        <f>'🚀 Mobility program(s)'!M109</f>
        <v/>
      </c>
      <c r="G35" s="547" t="str">
        <f>IF(ISBLANK(F34),"","Go live")</f>
        <v/>
      </c>
      <c r="H35" s="543"/>
      <c r="I35" s="548" t="str">
        <f>'🚀 Mobility program(s)'!M203</f>
        <v/>
      </c>
      <c r="J35" s="547" t="str">
        <f>IF(ISBLANK(I34),"","Go live")</f>
        <v/>
      </c>
      <c r="K35" s="543"/>
      <c r="L35" s="549" t="str">
        <f>'🚀 Mobility program(s)'!M297</f>
        <v/>
      </c>
      <c r="M35" s="547" t="str">
        <f>IF(ISBLANK(L34),"","Go live")</f>
        <v/>
      </c>
      <c r="N35" s="543"/>
      <c r="O35" s="549" t="str">
        <f>'🚀 Mobility program(s)'!M391</f>
        <v/>
      </c>
      <c r="P35" s="547" t="str">
        <f>IF(ISBLANK(O34),"","Go live")</f>
        <v/>
      </c>
      <c r="Q35" s="543"/>
      <c r="R35" s="549" t="str">
        <f>'🚀 Mobility program(s)'!M485</f>
        <v/>
      </c>
      <c r="S35" s="547" t="str">
        <f>IF(ISBLANK(R34),"","Go live")</f>
        <v/>
      </c>
      <c r="T35" s="543"/>
      <c r="U35" s="543"/>
      <c r="V35" s="543"/>
      <c r="W35" s="543"/>
      <c r="X35" s="543"/>
      <c r="Y35" s="543"/>
      <c r="Z35" s="543"/>
      <c r="AA35" s="543"/>
      <c r="AB35" s="543"/>
      <c r="AC35" s="543"/>
      <c r="AD35" s="543"/>
      <c r="AE35" s="543"/>
      <c r="AF35" s="543"/>
      <c r="AG35" s="543"/>
      <c r="AH35" s="543"/>
      <c r="AI35" s="543"/>
    </row>
    <row r="36" ht="17.25" customHeight="1">
      <c r="A36" s="538"/>
      <c r="B36" s="539" t="s">
        <v>559</v>
      </c>
      <c r="C36" s="515"/>
      <c r="D36" s="516"/>
      <c r="E36" s="550"/>
      <c r="F36" s="551" t="str">
        <f>'🚀 Mobility program(s)'!M107</f>
        <v/>
      </c>
      <c r="G36" s="521" t="str">
        <f>IF(ISBLANK(F34),"","eligible")</f>
        <v/>
      </c>
      <c r="H36" s="538"/>
      <c r="I36" s="552" t="str">
        <f>'🚀 Mobility program(s)'!M201</f>
        <v/>
      </c>
      <c r="J36" s="521" t="str">
        <f>IF(ISBLANK(I34),"","eligible")</f>
        <v/>
      </c>
      <c r="K36" s="538"/>
      <c r="L36" s="552" t="str">
        <f>'🚀 Mobility program(s)'!M295</f>
        <v/>
      </c>
      <c r="M36" s="521" t="str">
        <f>IF(ISBLANK(L34),"","eligible")</f>
        <v/>
      </c>
      <c r="N36" s="538"/>
      <c r="O36" s="552" t="str">
        <f>'🚀 Mobility program(s)'!M389</f>
        <v/>
      </c>
      <c r="P36" s="521" t="str">
        <f>IF(ISBLANK(O34),"","eligible")</f>
        <v/>
      </c>
      <c r="Q36" s="538"/>
      <c r="R36" s="552" t="str">
        <f>'🚀 Mobility program(s)'!M483</f>
        <v/>
      </c>
      <c r="S36" s="521" t="str">
        <f>IF(ISBLANK(R34),"","eligible")</f>
        <v/>
      </c>
      <c r="T36" s="538"/>
      <c r="U36" s="538"/>
      <c r="V36" s="538"/>
      <c r="W36" s="538"/>
      <c r="X36" s="538"/>
      <c r="Y36" s="538"/>
      <c r="Z36" s="538"/>
      <c r="AA36" s="538"/>
      <c r="AB36" s="538"/>
      <c r="AC36" s="538"/>
      <c r="AD36" s="538"/>
      <c r="AE36" s="538"/>
      <c r="AF36" s="538"/>
      <c r="AG36" s="538"/>
      <c r="AH36" s="538"/>
      <c r="AI36" s="542"/>
    </row>
    <row r="37" ht="17.25" customHeight="1">
      <c r="A37" s="543"/>
      <c r="B37" s="544" t="s">
        <v>560</v>
      </c>
      <c r="C37" s="510"/>
      <c r="D37" s="511"/>
      <c r="E37" s="545"/>
      <c r="F37" s="545" t="str">
        <f>'🚀 Mobility program(s)'!M108</f>
        <v/>
      </c>
      <c r="G37" s="547" t="str">
        <f>IF(ISBLANK(F34),"","expected")</f>
        <v/>
      </c>
      <c r="H37" s="543"/>
      <c r="I37" s="545" t="str">
        <f>'🚀 Mobility program(s)'!M202</f>
        <v/>
      </c>
      <c r="J37" s="547" t="str">
        <f>IF(ISBLANK(I34),"","expected")</f>
        <v/>
      </c>
      <c r="K37" s="543"/>
      <c r="L37" s="545" t="str">
        <f>'🚀 Mobility program(s)'!M296</f>
        <v/>
      </c>
      <c r="M37" s="547" t="str">
        <f>IF(ISBLANK(L34),"","expected")</f>
        <v/>
      </c>
      <c r="N37" s="543"/>
      <c r="O37" s="545" t="str">
        <f>'🚀 Mobility program(s)'!M390</f>
        <v/>
      </c>
      <c r="P37" s="547" t="str">
        <f>IF(ISBLANK(O34),"","expected")</f>
        <v/>
      </c>
      <c r="Q37" s="543"/>
      <c r="R37" s="545" t="str">
        <f>'🚀 Mobility program(s)'!M484</f>
        <v/>
      </c>
      <c r="S37" s="547" t="str">
        <f>IF(ISBLANK(R34),"","expected")</f>
        <v/>
      </c>
      <c r="T37" s="543"/>
      <c r="U37" s="543"/>
      <c r="V37" s="543"/>
      <c r="W37" s="543"/>
      <c r="X37" s="543"/>
      <c r="Y37" s="543"/>
      <c r="Z37" s="543"/>
      <c r="AA37" s="543"/>
      <c r="AB37" s="543"/>
      <c r="AC37" s="543"/>
      <c r="AD37" s="543"/>
      <c r="AE37" s="543"/>
      <c r="AF37" s="543"/>
      <c r="AG37" s="543"/>
      <c r="AH37" s="543"/>
      <c r="AI37" s="543"/>
    </row>
    <row r="38" ht="17.25" customHeight="1">
      <c r="A38" s="538"/>
      <c r="B38" s="539" t="s">
        <v>561</v>
      </c>
      <c r="C38" s="515"/>
      <c r="D38" s="516"/>
      <c r="E38" s="550"/>
      <c r="F38" s="551" t="str">
        <f>IF(COUNTIF('🚀 Mobility program(s)'!M42:M82, "yes")&gt;0,COUNTIF('🚀 Mobility program(s)'!M42:M82, "yes"),"")</f>
        <v/>
      </c>
      <c r="G38" s="521" t="str">
        <f>IF(ISBLANK(F34),"","services")</f>
        <v/>
      </c>
      <c r="H38" s="538"/>
      <c r="I38" s="552" t="str">
        <f>IF(COUNTIF('🚀 Mobility program(s)'!M136:M176, "yes")&gt;0,COUNTIF('🚀 Mobility program(s)'!M136:M176, "yes"),"")</f>
        <v/>
      </c>
      <c r="J38" s="521" t="str">
        <f>IF(ISBLANK(I34),"","services")</f>
        <v/>
      </c>
      <c r="K38" s="538"/>
      <c r="L38" s="552" t="str">
        <f>IF(COUNTIF('🚀 Mobility program(s)'!M230:M270, "yes")&gt;0,COUNTIF('🚀 Mobility program(s)'!M230:M270, "yes"),"")</f>
        <v/>
      </c>
      <c r="M38" s="521" t="str">
        <f>IF(ISBLANK(L34),"","services")</f>
        <v/>
      </c>
      <c r="N38" s="538"/>
      <c r="O38" s="552" t="str">
        <f>IF(COUNTIF('🚀 Mobility program(s)'!M324:M364, "yes")&gt;0,COUNTIF('🚀 Mobility program(s)'!M324:M364, "yes"),"")</f>
        <v/>
      </c>
      <c r="P38" s="521" t="str">
        <f>IF(ISBLANK(O34),"","services")</f>
        <v/>
      </c>
      <c r="Q38" s="538"/>
      <c r="R38" s="552" t="str">
        <f>IF(COUNTIF('🚀 Mobility program(s)'!M418:M458, "yes")&gt;0,COUNTIF('🚀 Mobility program(s)'!M418:M458, "yes"),"")</f>
        <v/>
      </c>
      <c r="S38" s="521" t="str">
        <f>IF(ISBLANK(R34),"","services")</f>
        <v/>
      </c>
      <c r="T38" s="538"/>
      <c r="U38" s="538"/>
      <c r="V38" s="538"/>
      <c r="W38" s="538"/>
      <c r="X38" s="538"/>
      <c r="Y38" s="538"/>
      <c r="Z38" s="538"/>
      <c r="AA38" s="538"/>
      <c r="AB38" s="538"/>
      <c r="AC38" s="538"/>
      <c r="AD38" s="538"/>
      <c r="AE38" s="538"/>
      <c r="AF38" s="538"/>
      <c r="AG38" s="538"/>
      <c r="AH38" s="538"/>
      <c r="AI38" s="542"/>
    </row>
    <row r="39" ht="17.25" customHeight="1">
      <c r="A39" s="543"/>
      <c r="B39" s="544" t="s">
        <v>562</v>
      </c>
      <c r="C39" s="510"/>
      <c r="D39" s="511"/>
      <c r="E39" s="545"/>
      <c r="F39" s="545">
        <f>IF(COUNTA('🚀 Mobility program(s)'!E97:E104)=0, 1, COUNTA('🚀 Mobility program(s)'!E97:E104))</f>
        <v>1</v>
      </c>
      <c r="G39" s="547" t="str">
        <f>IF(ISBLANK(F34),"","groups")</f>
        <v/>
      </c>
      <c r="H39" s="543"/>
      <c r="I39" s="545">
        <f>IF(COUNTA('🚀 Mobility program(s)'!E191:E198)=0, 1, COUNTA('🚀 Mobility program(s)'!E191:E198))</f>
        <v>1</v>
      </c>
      <c r="J39" s="547" t="str">
        <f>IF(ISBLANK(I34),"","groups")</f>
        <v/>
      </c>
      <c r="K39" s="543"/>
      <c r="L39" s="545">
        <f>IF(COUNTA('🚀 Mobility program(s)'!E285:E292)=0, 1, COUNTA('🚀 Mobility program(s)'!E285:E292))</f>
        <v>1</v>
      </c>
      <c r="M39" s="547" t="str">
        <f>IF(ISBLANK(L34),"","groups")</f>
        <v/>
      </c>
      <c r="N39" s="543"/>
      <c r="O39" s="545">
        <f>IF(COUNTA('🚀 Mobility program(s)'!E379:E384)=0, 1, COUNTA('🚀 Mobility program(s)'!E379:E384))</f>
        <v>1</v>
      </c>
      <c r="P39" s="547" t="str">
        <f>IF(ISBLANK(O34),"","groups")</f>
        <v/>
      </c>
      <c r="Q39" s="543"/>
      <c r="R39" s="545">
        <f>IF(COUNTA('🚀 Mobility program(s)'!E473:E480)=0, 1, COUNTA('🚀 Mobility program(s)'!E473:E480))</f>
        <v>1</v>
      </c>
      <c r="S39" s="547" t="str">
        <f>IF(ISBLANK(R34),"","groups")</f>
        <v/>
      </c>
      <c r="T39" s="543"/>
      <c r="U39" s="543"/>
      <c r="V39" s="543"/>
      <c r="W39" s="543"/>
      <c r="X39" s="543"/>
      <c r="Y39" s="543"/>
      <c r="Z39" s="543"/>
      <c r="AA39" s="543"/>
      <c r="AB39" s="543"/>
      <c r="AC39" s="543"/>
      <c r="AD39" s="543"/>
      <c r="AE39" s="543"/>
      <c r="AF39" s="543"/>
      <c r="AG39" s="543"/>
      <c r="AH39" s="543"/>
      <c r="AI39" s="543"/>
    </row>
    <row r="40" ht="17.25" customHeight="1">
      <c r="A40" s="473"/>
      <c r="B40" s="539" t="s">
        <v>563</v>
      </c>
      <c r="C40" s="515"/>
      <c r="D40" s="516"/>
      <c r="E40" s="553"/>
      <c r="F40" s="553"/>
      <c r="G40" s="521" t="str">
        <f>'🚀 Mobility program(s)'!M106</f>
        <v/>
      </c>
      <c r="H40" s="473"/>
      <c r="I40" s="553"/>
      <c r="J40" s="521" t="str">
        <f>'🚀 Mobility program(s)'!M200</f>
        <v/>
      </c>
      <c r="K40" s="473"/>
      <c r="L40" s="553"/>
      <c r="M40" s="521" t="str">
        <f>'🚀 Mobility program(s)'!M294</f>
        <v/>
      </c>
      <c r="N40" s="473"/>
      <c r="O40" s="553"/>
      <c r="P40" s="521" t="str">
        <f>'🚀 Mobility program(s)'!M388</f>
        <v/>
      </c>
      <c r="Q40" s="473"/>
      <c r="R40" s="553"/>
      <c r="S40" s="521" t="str">
        <f>'🚀 Mobility program(s)'!M482</f>
        <v/>
      </c>
      <c r="T40" s="473"/>
      <c r="U40" s="473"/>
      <c r="V40" s="473"/>
      <c r="W40" s="473"/>
      <c r="X40" s="473"/>
      <c r="Y40" s="473"/>
      <c r="Z40" s="473"/>
      <c r="AA40" s="473"/>
      <c r="AB40" s="473"/>
      <c r="AC40" s="473"/>
      <c r="AD40" s="473"/>
      <c r="AE40" s="473"/>
      <c r="AF40" s="473"/>
      <c r="AG40" s="473"/>
      <c r="AH40" s="473"/>
      <c r="AI40" s="473"/>
    </row>
    <row r="41" ht="17.25" customHeight="1">
      <c r="A41" s="543"/>
      <c r="B41" s="544" t="s">
        <v>564</v>
      </c>
      <c r="C41" s="510"/>
      <c r="D41" s="511"/>
      <c r="E41" s="545"/>
      <c r="F41" s="545"/>
      <c r="G41" s="554" t="str">
        <f>'🚀 Mobility program(s)'!M112</f>
        <v/>
      </c>
      <c r="H41" s="543"/>
      <c r="I41" s="545"/>
      <c r="J41" s="554" t="str">
        <f>'🚀 Mobility program(s)'!M206</f>
        <v/>
      </c>
      <c r="K41" s="543"/>
      <c r="L41" s="545"/>
      <c r="M41" s="554" t="str">
        <f>'🚀 Mobility program(s)'!M300</f>
        <v/>
      </c>
      <c r="N41" s="543"/>
      <c r="O41" s="545"/>
      <c r="P41" s="554" t="str">
        <f>'🚀 Mobility program(s)'!M394</f>
        <v/>
      </c>
      <c r="Q41" s="543"/>
      <c r="R41" s="545"/>
      <c r="S41" s="554" t="str">
        <f>'🚀 Mobility program(s)'!M488</f>
        <v/>
      </c>
      <c r="T41" s="543"/>
      <c r="U41" s="543"/>
      <c r="V41" s="543"/>
      <c r="W41" s="543"/>
      <c r="X41" s="543"/>
      <c r="Y41" s="543"/>
      <c r="Z41" s="543"/>
      <c r="AA41" s="543"/>
      <c r="AB41" s="543"/>
      <c r="AC41" s="543"/>
      <c r="AD41" s="543"/>
      <c r="AE41" s="543"/>
      <c r="AF41" s="543"/>
      <c r="AG41" s="543"/>
      <c r="AH41" s="543"/>
      <c r="AI41" s="543"/>
    </row>
    <row r="42" ht="17.25" customHeight="1">
      <c r="A42" s="473"/>
      <c r="B42" s="514" t="s">
        <v>565</v>
      </c>
      <c r="C42" s="515"/>
      <c r="D42" s="516"/>
      <c r="E42" s="555"/>
      <c r="F42" s="556" t="str">
        <f>'🚀 Mobility program(s)'!E115</f>
        <v/>
      </c>
      <c r="G42" s="516"/>
      <c r="H42" s="473"/>
      <c r="I42" s="550" t="str">
        <f>'🚀 Mobility program(s)'!E209</f>
        <v/>
      </c>
      <c r="J42" s="516"/>
      <c r="K42" s="473"/>
      <c r="L42" s="550" t="str">
        <f>'🚀 Mobility program(s)'!E303</f>
        <v/>
      </c>
      <c r="M42" s="516"/>
      <c r="N42" s="473"/>
      <c r="O42" s="550" t="str">
        <f>'🚀 Mobility program(s)'!E397</f>
        <v/>
      </c>
      <c r="P42" s="516"/>
      <c r="Q42" s="473"/>
      <c r="R42" s="550" t="str">
        <f>'🚀 Mobility program(s)'!E491</f>
        <v/>
      </c>
      <c r="S42" s="516"/>
      <c r="T42" s="473"/>
      <c r="U42" s="473"/>
      <c r="V42" s="473"/>
      <c r="W42" s="473"/>
      <c r="X42" s="473"/>
      <c r="Y42" s="473"/>
      <c r="Z42" s="473"/>
      <c r="AA42" s="473"/>
      <c r="AB42" s="473"/>
      <c r="AC42" s="473"/>
      <c r="AD42" s="473"/>
      <c r="AE42" s="473"/>
      <c r="AF42" s="473"/>
      <c r="AG42" s="473"/>
      <c r="AH42" s="473"/>
      <c r="AI42" s="473"/>
    </row>
  </sheetData>
  <mergeCells count="94">
    <mergeCell ref="F11:H11"/>
    <mergeCell ref="I11:K11"/>
    <mergeCell ref="L11:N11"/>
    <mergeCell ref="F12:G12"/>
    <mergeCell ref="F13:G13"/>
    <mergeCell ref="K13:L13"/>
    <mergeCell ref="A2:A3"/>
    <mergeCell ref="B2:D3"/>
    <mergeCell ref="E5:N5"/>
    <mergeCell ref="E6:N6"/>
    <mergeCell ref="E7:N7"/>
    <mergeCell ref="E8:N8"/>
    <mergeCell ref="E9:N9"/>
    <mergeCell ref="B5:D5"/>
    <mergeCell ref="B11:D11"/>
    <mergeCell ref="B12:D12"/>
    <mergeCell ref="B14:D14"/>
    <mergeCell ref="B15:D15"/>
    <mergeCell ref="B18:D18"/>
    <mergeCell ref="B19:D19"/>
    <mergeCell ref="AA28:AB28"/>
    <mergeCell ref="AD28:AE28"/>
    <mergeCell ref="AG28:AH28"/>
    <mergeCell ref="F28:G28"/>
    <mergeCell ref="I28:J28"/>
    <mergeCell ref="L28:M28"/>
    <mergeCell ref="O28:P28"/>
    <mergeCell ref="R28:S28"/>
    <mergeCell ref="U28:V28"/>
    <mergeCell ref="X28:Y28"/>
    <mergeCell ref="X29:Y29"/>
    <mergeCell ref="AA29:AB29"/>
    <mergeCell ref="AD29:AE29"/>
    <mergeCell ref="AG29:AH29"/>
    <mergeCell ref="B29:D29"/>
    <mergeCell ref="F29:G29"/>
    <mergeCell ref="I29:J29"/>
    <mergeCell ref="L29:M29"/>
    <mergeCell ref="O29:P29"/>
    <mergeCell ref="R29:S29"/>
    <mergeCell ref="U29:V29"/>
    <mergeCell ref="B40:D40"/>
    <mergeCell ref="B41:D41"/>
    <mergeCell ref="B42:D42"/>
    <mergeCell ref="F42:G42"/>
    <mergeCell ref="I42:J42"/>
    <mergeCell ref="L42:M42"/>
    <mergeCell ref="O42:P42"/>
    <mergeCell ref="R42:S42"/>
    <mergeCell ref="F33:G33"/>
    <mergeCell ref="F34:G34"/>
    <mergeCell ref="B35:D35"/>
    <mergeCell ref="B36:D36"/>
    <mergeCell ref="B37:D37"/>
    <mergeCell ref="B38:D38"/>
    <mergeCell ref="B39:D39"/>
    <mergeCell ref="X30:Y30"/>
    <mergeCell ref="AA30:AB30"/>
    <mergeCell ref="AD30:AE30"/>
    <mergeCell ref="AG30:AH30"/>
    <mergeCell ref="B30:D30"/>
    <mergeCell ref="F30:G30"/>
    <mergeCell ref="I30:J30"/>
    <mergeCell ref="L30:M30"/>
    <mergeCell ref="O30:P30"/>
    <mergeCell ref="R30:S30"/>
    <mergeCell ref="U30:V30"/>
    <mergeCell ref="B20:D20"/>
    <mergeCell ref="B21:D21"/>
    <mergeCell ref="B22:D22"/>
    <mergeCell ref="B23:D23"/>
    <mergeCell ref="B25:D25"/>
    <mergeCell ref="F27:G27"/>
    <mergeCell ref="B28:D28"/>
    <mergeCell ref="L32:M32"/>
    <mergeCell ref="L33:M33"/>
    <mergeCell ref="R32:S32"/>
    <mergeCell ref="R33:S33"/>
    <mergeCell ref="U33:V33"/>
    <mergeCell ref="X33:Y33"/>
    <mergeCell ref="AA33:AB33"/>
    <mergeCell ref="AD33:AE33"/>
    <mergeCell ref="AG33:AH33"/>
    <mergeCell ref="I34:J34"/>
    <mergeCell ref="L34:M34"/>
    <mergeCell ref="R34:S34"/>
    <mergeCell ref="F32:G32"/>
    <mergeCell ref="I32:J32"/>
    <mergeCell ref="O32:P32"/>
    <mergeCell ref="B33:D33"/>
    <mergeCell ref="I33:J33"/>
    <mergeCell ref="O33:P33"/>
    <mergeCell ref="B34:D34"/>
    <mergeCell ref="O34:P34"/>
  </mergeCell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Row="1"/>
  <sheetData>
    <row r="1">
      <c r="A1" s="557"/>
      <c r="B1" s="557"/>
      <c r="C1" s="557"/>
      <c r="D1" s="557"/>
      <c r="E1" s="557"/>
      <c r="F1" s="557"/>
      <c r="G1" s="557"/>
      <c r="H1" s="557"/>
      <c r="I1" s="557"/>
      <c r="J1" s="557"/>
      <c r="K1" s="557"/>
      <c r="L1" s="557"/>
      <c r="M1" s="557"/>
      <c r="N1" s="557"/>
      <c r="O1" s="557"/>
      <c r="P1" s="557"/>
      <c r="Q1" s="558"/>
    </row>
    <row r="2">
      <c r="A2" s="557"/>
      <c r="B2" s="557"/>
      <c r="C2" s="557"/>
      <c r="D2" s="557"/>
      <c r="E2" s="557"/>
      <c r="F2" s="557"/>
      <c r="G2" s="557"/>
      <c r="H2" s="557"/>
      <c r="I2" s="557"/>
      <c r="J2" s="557"/>
      <c r="K2" s="557"/>
      <c r="L2" s="557"/>
      <c r="M2" s="557"/>
      <c r="N2" s="557"/>
      <c r="O2" s="557"/>
      <c r="P2" s="557"/>
      <c r="Q2" s="558"/>
    </row>
    <row r="3">
      <c r="A3" s="557"/>
      <c r="B3" s="557"/>
      <c r="C3" s="557"/>
      <c r="D3" s="557"/>
      <c r="E3" s="557"/>
      <c r="F3" s="557"/>
      <c r="G3" s="557"/>
      <c r="H3" s="557"/>
      <c r="I3" s="557"/>
      <c r="J3" s="557"/>
      <c r="K3" s="557"/>
      <c r="L3" s="557"/>
      <c r="M3" s="557"/>
      <c r="N3" s="557"/>
      <c r="O3" s="557"/>
      <c r="P3" s="557"/>
      <c r="Q3" s="558"/>
    </row>
    <row r="4">
      <c r="A4" s="557"/>
      <c r="B4" s="557"/>
      <c r="C4" s="557"/>
      <c r="D4" s="557"/>
      <c r="E4" s="557"/>
      <c r="F4" s="557"/>
      <c r="G4" s="557"/>
      <c r="H4" s="557"/>
      <c r="I4" s="557"/>
      <c r="J4" s="557"/>
      <c r="K4" s="557"/>
      <c r="L4" s="557"/>
      <c r="M4" s="557"/>
      <c r="N4" s="557"/>
      <c r="O4" s="557"/>
      <c r="P4" s="557"/>
      <c r="Q4" s="558"/>
    </row>
    <row r="5">
      <c r="A5" s="557"/>
      <c r="B5" s="557"/>
      <c r="C5" s="557"/>
      <c r="D5" s="557"/>
      <c r="E5" s="557"/>
      <c r="F5" s="557"/>
      <c r="G5" s="557"/>
      <c r="H5" s="557"/>
      <c r="I5" s="557"/>
      <c r="J5" s="557"/>
      <c r="K5" s="557"/>
      <c r="L5" s="557"/>
      <c r="M5" s="557"/>
      <c r="N5" s="557"/>
      <c r="O5" s="557"/>
      <c r="P5" s="557"/>
      <c r="Q5" s="558"/>
    </row>
    <row r="6">
      <c r="A6" s="557"/>
      <c r="B6" s="557"/>
      <c r="C6" s="557"/>
      <c r="D6" s="557"/>
      <c r="E6" s="557"/>
      <c r="F6" s="557"/>
      <c r="G6" s="557"/>
      <c r="H6" s="557"/>
      <c r="I6" s="557"/>
      <c r="J6" s="557"/>
      <c r="K6" s="557"/>
      <c r="L6" s="557"/>
      <c r="M6" s="557"/>
      <c r="N6" s="557"/>
      <c r="O6" s="557"/>
      <c r="P6" s="557"/>
      <c r="Q6" s="558"/>
    </row>
    <row r="7">
      <c r="A7" s="557"/>
      <c r="B7" s="557"/>
      <c r="C7" s="557"/>
      <c r="D7" s="557"/>
      <c r="E7" s="557"/>
      <c r="F7" s="557"/>
      <c r="G7" s="557"/>
      <c r="H7" s="557"/>
      <c r="I7" s="557"/>
      <c r="J7" s="557"/>
      <c r="K7" s="557"/>
      <c r="L7" s="557"/>
      <c r="M7" s="557"/>
      <c r="N7" s="557"/>
      <c r="O7" s="557"/>
      <c r="P7" s="557"/>
      <c r="Q7" s="558"/>
    </row>
    <row r="8">
      <c r="A8" s="559"/>
      <c r="B8" s="560"/>
      <c r="C8" s="560"/>
      <c r="D8" s="560"/>
      <c r="E8" s="560"/>
      <c r="F8" s="560"/>
      <c r="G8" s="560"/>
      <c r="H8" s="560"/>
      <c r="I8" s="560"/>
      <c r="J8" s="560"/>
      <c r="K8" s="218"/>
      <c r="L8" s="218"/>
      <c r="M8" s="218"/>
      <c r="N8" s="218"/>
      <c r="O8" s="218"/>
      <c r="P8" s="218"/>
      <c r="Q8" s="561"/>
    </row>
    <row r="9">
      <c r="A9" s="559"/>
      <c r="B9" s="560"/>
      <c r="C9" s="560"/>
      <c r="D9" s="560"/>
      <c r="E9" s="560"/>
      <c r="F9" s="560"/>
      <c r="G9" s="560"/>
      <c r="H9" s="560"/>
      <c r="I9" s="560"/>
      <c r="J9" s="560"/>
      <c r="K9" s="218"/>
      <c r="L9" s="218"/>
      <c r="M9" s="218"/>
      <c r="N9" s="218"/>
      <c r="O9" s="218"/>
      <c r="P9" s="218"/>
      <c r="Q9" s="561"/>
    </row>
    <row r="10">
      <c r="A10" s="559"/>
      <c r="B10" s="560"/>
      <c r="C10" s="560"/>
      <c r="D10" s="560"/>
      <c r="E10" s="560"/>
      <c r="F10" s="560"/>
      <c r="G10" s="560"/>
      <c r="H10" s="560"/>
      <c r="I10" s="560"/>
      <c r="J10" s="560"/>
      <c r="K10" s="218"/>
      <c r="L10" s="218"/>
      <c r="M10" s="218"/>
      <c r="N10" s="218"/>
      <c r="O10" s="218"/>
      <c r="P10" s="218"/>
      <c r="Q10" s="229"/>
    </row>
    <row r="11">
      <c r="A11" s="232"/>
      <c r="B11" s="218"/>
      <c r="C11" s="562" t="s">
        <v>566</v>
      </c>
      <c r="D11" s="10"/>
      <c r="E11" s="10"/>
      <c r="F11" s="10"/>
      <c r="G11" s="11"/>
      <c r="H11" s="218"/>
      <c r="I11" s="218"/>
      <c r="J11" s="218"/>
      <c r="K11" s="218"/>
      <c r="L11" s="218"/>
      <c r="M11" s="218"/>
      <c r="N11" s="218"/>
      <c r="O11" s="218"/>
      <c r="P11" s="218"/>
      <c r="Q11" s="229"/>
    </row>
    <row r="12">
      <c r="A12" s="232"/>
      <c r="B12" s="218"/>
      <c r="C12" s="12"/>
      <c r="G12" s="13"/>
      <c r="H12" s="218"/>
      <c r="I12" s="218"/>
      <c r="J12" s="218"/>
      <c r="K12" s="218"/>
      <c r="L12" s="218"/>
      <c r="M12" s="218"/>
      <c r="N12" s="218"/>
      <c r="O12" s="218"/>
      <c r="P12" s="218"/>
      <c r="Q12" s="229"/>
    </row>
    <row r="13">
      <c r="A13" s="232"/>
      <c r="B13" s="218"/>
      <c r="C13" s="14"/>
      <c r="D13" s="15"/>
      <c r="E13" s="15"/>
      <c r="F13" s="15"/>
      <c r="G13" s="16"/>
      <c r="H13" s="218"/>
      <c r="I13" s="218"/>
      <c r="J13" s="218"/>
      <c r="K13" s="218"/>
      <c r="L13" s="218"/>
      <c r="M13" s="218"/>
      <c r="N13" s="218"/>
      <c r="O13" s="218"/>
      <c r="P13" s="218"/>
      <c r="Q13" s="229"/>
    </row>
    <row r="14">
      <c r="A14" s="232"/>
      <c r="B14" s="218"/>
      <c r="C14" s="218"/>
      <c r="D14" s="218"/>
      <c r="E14" s="218"/>
      <c r="F14" s="218"/>
      <c r="G14" s="218"/>
      <c r="H14" s="218"/>
      <c r="I14" s="218"/>
      <c r="J14" s="218"/>
      <c r="K14" s="218"/>
      <c r="L14" s="218"/>
      <c r="M14" s="218"/>
      <c r="N14" s="218"/>
      <c r="O14" s="218"/>
      <c r="P14" s="218"/>
      <c r="Q14" s="229"/>
    </row>
    <row r="15">
      <c r="A15" s="232"/>
      <c r="B15" s="218"/>
      <c r="C15" s="563" t="s">
        <v>567</v>
      </c>
      <c r="D15" s="218"/>
      <c r="E15" s="218"/>
      <c r="F15" s="218"/>
      <c r="G15" s="218"/>
      <c r="H15" s="218"/>
      <c r="I15" s="218"/>
      <c r="J15" s="218"/>
      <c r="K15" s="218"/>
      <c r="L15" s="218"/>
      <c r="M15" s="218"/>
      <c r="N15" s="218"/>
      <c r="O15" s="218"/>
      <c r="P15" s="218"/>
      <c r="Q15" s="229"/>
    </row>
    <row r="16">
      <c r="A16" s="218"/>
      <c r="B16" s="218"/>
      <c r="C16" s="563" t="s">
        <v>568</v>
      </c>
      <c r="D16" s="218"/>
      <c r="E16" s="218"/>
      <c r="F16" s="218"/>
      <c r="G16" s="218"/>
      <c r="H16" s="218"/>
      <c r="I16" s="218"/>
      <c r="J16" s="218"/>
      <c r="K16" s="218"/>
      <c r="L16" s="218"/>
      <c r="M16" s="218"/>
      <c r="N16" s="218"/>
      <c r="O16" s="218"/>
      <c r="P16" s="218"/>
      <c r="Q16" s="218"/>
    </row>
    <row r="17">
      <c r="A17" s="218"/>
      <c r="B17" s="219"/>
      <c r="C17" s="219"/>
      <c r="D17" s="218"/>
      <c r="E17" s="218"/>
      <c r="F17" s="218"/>
      <c r="G17" s="218"/>
      <c r="H17" s="218"/>
      <c r="I17" s="218"/>
      <c r="J17" s="218"/>
      <c r="K17" s="218"/>
      <c r="L17" s="218"/>
      <c r="M17" s="218"/>
      <c r="N17" s="218"/>
      <c r="O17" s="218"/>
      <c r="P17" s="218"/>
      <c r="Q17" s="218"/>
    </row>
    <row r="18" collapsed="1">
      <c r="A18" s="564" t="s">
        <v>569</v>
      </c>
      <c r="B18" s="565" t="str">
        <f>IF(ISBLANK(C18), "", IF(B18="", NOW(), IF(C18&lt;&gt;C18, NOW(), B18)))</f>
        <v/>
      </c>
      <c r="C18" s="566"/>
      <c r="D18" s="10"/>
      <c r="E18" s="10"/>
      <c r="F18" s="10"/>
      <c r="G18" s="10"/>
      <c r="H18" s="10"/>
      <c r="I18" s="10"/>
      <c r="J18" s="10"/>
      <c r="K18" s="10"/>
      <c r="L18" s="10"/>
      <c r="M18" s="10"/>
      <c r="N18" s="10"/>
      <c r="O18" s="11"/>
      <c r="P18" s="218"/>
      <c r="Q18" s="218"/>
    </row>
    <row r="19" hidden="1" outlineLevel="1">
      <c r="A19" s="218"/>
      <c r="B19" s="218"/>
      <c r="C19" s="12"/>
      <c r="O19" s="13"/>
      <c r="P19" s="218"/>
      <c r="Q19" s="218"/>
    </row>
    <row r="20" hidden="1" outlineLevel="1">
      <c r="A20" s="218"/>
      <c r="B20" s="218"/>
      <c r="C20" s="12"/>
      <c r="O20" s="13"/>
      <c r="P20" s="218"/>
      <c r="Q20" s="218"/>
    </row>
    <row r="21" hidden="1" outlineLevel="1">
      <c r="A21" s="218"/>
      <c r="B21" s="218"/>
      <c r="C21" s="12"/>
      <c r="O21" s="13"/>
      <c r="P21" s="218"/>
      <c r="Q21" s="218"/>
    </row>
    <row r="22" hidden="1" outlineLevel="1">
      <c r="A22" s="218"/>
      <c r="B22" s="218"/>
      <c r="C22" s="12"/>
      <c r="O22" s="13"/>
      <c r="P22" s="218"/>
      <c r="Q22" s="218"/>
    </row>
    <row r="23" hidden="1" outlineLevel="1">
      <c r="A23" s="218"/>
      <c r="B23" s="218"/>
      <c r="C23" s="12"/>
      <c r="O23" s="13"/>
      <c r="P23" s="218"/>
      <c r="Q23" s="218"/>
    </row>
    <row r="24" hidden="1" outlineLevel="1">
      <c r="A24" s="218"/>
      <c r="B24" s="218"/>
      <c r="C24" s="12"/>
      <c r="O24" s="13"/>
      <c r="P24" s="218"/>
      <c r="Q24" s="218"/>
    </row>
    <row r="25" hidden="1" outlineLevel="1">
      <c r="A25" s="218"/>
      <c r="B25" s="218"/>
      <c r="C25" s="12"/>
      <c r="O25" s="13"/>
      <c r="P25" s="218"/>
      <c r="Q25" s="218"/>
    </row>
    <row r="26" hidden="1" outlineLevel="1">
      <c r="A26" s="218"/>
      <c r="B26" s="218"/>
      <c r="C26" s="12"/>
      <c r="O26" s="13"/>
      <c r="P26" s="218"/>
      <c r="Q26" s="218"/>
    </row>
    <row r="27" hidden="1" outlineLevel="1">
      <c r="A27" s="218"/>
      <c r="B27" s="218"/>
      <c r="C27" s="12"/>
      <c r="O27" s="13"/>
      <c r="P27" s="218"/>
      <c r="Q27" s="218"/>
    </row>
    <row r="28" hidden="1" outlineLevel="1">
      <c r="A28" s="218"/>
      <c r="B28" s="218"/>
      <c r="C28" s="12"/>
      <c r="O28" s="13"/>
      <c r="P28" s="218"/>
      <c r="Q28" s="218"/>
    </row>
    <row r="29" hidden="1" outlineLevel="1">
      <c r="A29" s="218"/>
      <c r="B29" s="218"/>
      <c r="C29" s="12"/>
      <c r="O29" s="13"/>
      <c r="P29" s="218"/>
      <c r="Q29" s="218"/>
    </row>
    <row r="30" hidden="1" outlineLevel="1">
      <c r="A30" s="218"/>
      <c r="B30" s="218"/>
      <c r="C30" s="12"/>
      <c r="O30" s="13"/>
      <c r="P30" s="218"/>
      <c r="Q30" s="218"/>
    </row>
    <row r="31" hidden="1" outlineLevel="1">
      <c r="A31" s="218"/>
      <c r="B31" s="218"/>
      <c r="C31" s="12"/>
      <c r="O31" s="13"/>
      <c r="P31" s="218"/>
      <c r="Q31" s="218"/>
    </row>
    <row r="32" hidden="1" outlineLevel="1">
      <c r="A32" s="218"/>
      <c r="B32" s="218"/>
      <c r="C32" s="12"/>
      <c r="O32" s="13"/>
      <c r="P32" s="218"/>
      <c r="Q32" s="218"/>
    </row>
    <row r="33" hidden="1" outlineLevel="1">
      <c r="A33" s="218"/>
      <c r="B33" s="218"/>
      <c r="C33" s="14"/>
      <c r="D33" s="15"/>
      <c r="E33" s="15"/>
      <c r="F33" s="15"/>
      <c r="G33" s="15"/>
      <c r="H33" s="15"/>
      <c r="I33" s="15"/>
      <c r="J33" s="15"/>
      <c r="K33" s="15"/>
      <c r="L33" s="15"/>
      <c r="M33" s="15"/>
      <c r="N33" s="15"/>
      <c r="O33" s="16"/>
      <c r="P33" s="218"/>
      <c r="Q33" s="218"/>
    </row>
    <row r="34">
      <c r="A34" s="218"/>
      <c r="B34" s="218"/>
      <c r="C34" s="218"/>
      <c r="D34" s="218"/>
      <c r="E34" s="218"/>
      <c r="F34" s="218"/>
      <c r="G34" s="218"/>
      <c r="H34" s="218"/>
      <c r="I34" s="218"/>
      <c r="J34" s="218"/>
      <c r="K34" s="218"/>
      <c r="L34" s="218"/>
      <c r="M34" s="218"/>
      <c r="N34" s="218"/>
      <c r="O34" s="218"/>
      <c r="P34" s="218"/>
      <c r="Q34" s="218"/>
    </row>
    <row r="35" collapsed="1">
      <c r="A35" s="564" t="s">
        <v>569</v>
      </c>
      <c r="B35" s="565" t="str">
        <f>IF(ISBLANK(C35), "", IF(B35="", NOW(), IF(C35&lt;&gt;C35, NOW(), B35)))</f>
        <v/>
      </c>
      <c r="C35" s="566"/>
      <c r="D35" s="10"/>
      <c r="E35" s="10"/>
      <c r="F35" s="10"/>
      <c r="G35" s="10"/>
      <c r="H35" s="10"/>
      <c r="I35" s="10"/>
      <c r="J35" s="10"/>
      <c r="K35" s="10"/>
      <c r="L35" s="10"/>
      <c r="M35" s="10"/>
      <c r="N35" s="10"/>
      <c r="O35" s="11"/>
      <c r="P35" s="218"/>
      <c r="Q35" s="218"/>
    </row>
    <row r="36" hidden="1" outlineLevel="1">
      <c r="A36" s="218"/>
      <c r="B36" s="218"/>
      <c r="C36" s="12"/>
      <c r="O36" s="13"/>
      <c r="P36" s="218"/>
      <c r="Q36" s="218"/>
    </row>
    <row r="37" hidden="1" outlineLevel="1">
      <c r="A37" s="218"/>
      <c r="B37" s="218"/>
      <c r="C37" s="12"/>
      <c r="O37" s="13"/>
      <c r="P37" s="218"/>
      <c r="Q37" s="218"/>
    </row>
    <row r="38" hidden="1" outlineLevel="1">
      <c r="A38" s="218"/>
      <c r="B38" s="218"/>
      <c r="C38" s="12"/>
      <c r="O38" s="13"/>
      <c r="P38" s="218"/>
      <c r="Q38" s="218"/>
    </row>
    <row r="39" hidden="1" outlineLevel="1">
      <c r="A39" s="218"/>
      <c r="B39" s="218"/>
      <c r="C39" s="12"/>
      <c r="O39" s="13"/>
      <c r="P39" s="218"/>
      <c r="Q39" s="218"/>
    </row>
    <row r="40" hidden="1" outlineLevel="1">
      <c r="A40" s="218"/>
      <c r="B40" s="218"/>
      <c r="C40" s="12"/>
      <c r="O40" s="13"/>
      <c r="P40" s="218"/>
      <c r="Q40" s="218"/>
    </row>
    <row r="41" hidden="1" outlineLevel="1">
      <c r="A41" s="218"/>
      <c r="B41" s="218"/>
      <c r="C41" s="12"/>
      <c r="O41" s="13"/>
      <c r="P41" s="218"/>
      <c r="Q41" s="218"/>
    </row>
    <row r="42" hidden="1" outlineLevel="1">
      <c r="A42" s="218"/>
      <c r="B42" s="218"/>
      <c r="C42" s="12"/>
      <c r="O42" s="13"/>
      <c r="P42" s="218"/>
      <c r="Q42" s="218"/>
    </row>
    <row r="43" hidden="1" outlineLevel="1">
      <c r="A43" s="218"/>
      <c r="B43" s="218"/>
      <c r="C43" s="12"/>
      <c r="O43" s="13"/>
      <c r="P43" s="218"/>
      <c r="Q43" s="218"/>
    </row>
    <row r="44" hidden="1" outlineLevel="1">
      <c r="A44" s="218"/>
      <c r="B44" s="218"/>
      <c r="C44" s="12"/>
      <c r="O44" s="13"/>
      <c r="P44" s="218"/>
      <c r="Q44" s="218"/>
    </row>
    <row r="45" hidden="1" outlineLevel="1">
      <c r="A45" s="218"/>
      <c r="B45" s="218"/>
      <c r="C45" s="12"/>
      <c r="O45" s="13"/>
      <c r="P45" s="218"/>
      <c r="Q45" s="218"/>
    </row>
    <row r="46" hidden="1" outlineLevel="1">
      <c r="A46" s="218"/>
      <c r="B46" s="218"/>
      <c r="C46" s="12"/>
      <c r="O46" s="13"/>
      <c r="P46" s="218"/>
      <c r="Q46" s="218"/>
    </row>
    <row r="47" hidden="1" outlineLevel="1">
      <c r="A47" s="218"/>
      <c r="B47" s="218"/>
      <c r="C47" s="12"/>
      <c r="O47" s="13"/>
      <c r="P47" s="218"/>
      <c r="Q47" s="218"/>
    </row>
    <row r="48" hidden="1" outlineLevel="1">
      <c r="A48" s="218"/>
      <c r="B48" s="218"/>
      <c r="C48" s="12"/>
      <c r="O48" s="13"/>
      <c r="P48" s="218"/>
      <c r="Q48" s="218"/>
    </row>
    <row r="49" hidden="1" outlineLevel="1">
      <c r="A49" s="218"/>
      <c r="B49" s="218"/>
      <c r="C49" s="12"/>
      <c r="O49" s="13"/>
      <c r="P49" s="218"/>
      <c r="Q49" s="218"/>
    </row>
    <row r="50" hidden="1" outlineLevel="1">
      <c r="A50" s="218"/>
      <c r="B50" s="218"/>
      <c r="C50" s="14"/>
      <c r="D50" s="15"/>
      <c r="E50" s="15"/>
      <c r="F50" s="15"/>
      <c r="G50" s="15"/>
      <c r="H50" s="15"/>
      <c r="I50" s="15"/>
      <c r="J50" s="15"/>
      <c r="K50" s="15"/>
      <c r="L50" s="15"/>
      <c r="M50" s="15"/>
      <c r="N50" s="15"/>
      <c r="O50" s="16"/>
      <c r="P50" s="218"/>
      <c r="Q50" s="218"/>
    </row>
    <row r="51">
      <c r="A51" s="218"/>
      <c r="B51" s="218"/>
      <c r="C51" s="218"/>
      <c r="D51" s="218"/>
      <c r="E51" s="218"/>
      <c r="F51" s="218"/>
      <c r="G51" s="218"/>
      <c r="H51" s="218"/>
      <c r="I51" s="218"/>
      <c r="J51" s="218"/>
      <c r="K51" s="218"/>
      <c r="L51" s="218"/>
      <c r="M51" s="218"/>
      <c r="N51" s="218"/>
      <c r="O51" s="218"/>
      <c r="P51" s="218"/>
      <c r="Q51" s="218"/>
    </row>
    <row r="52" collapsed="1">
      <c r="A52" s="564" t="s">
        <v>569</v>
      </c>
      <c r="B52" s="565" t="str">
        <f>IF(ISBLANK(C52), "", IF(B52="", NOW(), IF(C52&lt;&gt;C52, NOW(), B52)))</f>
        <v/>
      </c>
      <c r="C52" s="566"/>
      <c r="D52" s="10"/>
      <c r="E52" s="10"/>
      <c r="F52" s="10"/>
      <c r="G52" s="10"/>
      <c r="H52" s="10"/>
      <c r="I52" s="10"/>
      <c r="J52" s="10"/>
      <c r="K52" s="10"/>
      <c r="L52" s="10"/>
      <c r="M52" s="10"/>
      <c r="N52" s="10"/>
      <c r="O52" s="11"/>
      <c r="P52" s="218"/>
      <c r="Q52" s="218"/>
    </row>
    <row r="53" hidden="1" outlineLevel="1">
      <c r="A53" s="218"/>
      <c r="B53" s="218"/>
      <c r="C53" s="12"/>
      <c r="O53" s="13"/>
      <c r="P53" s="218"/>
      <c r="Q53" s="218"/>
    </row>
    <row r="54" hidden="1" outlineLevel="1">
      <c r="A54" s="218"/>
      <c r="B54" s="218"/>
      <c r="C54" s="12"/>
      <c r="O54" s="13"/>
      <c r="P54" s="218"/>
      <c r="Q54" s="218"/>
    </row>
    <row r="55" hidden="1" outlineLevel="1">
      <c r="A55" s="218"/>
      <c r="B55" s="218"/>
      <c r="C55" s="12"/>
      <c r="O55" s="13"/>
      <c r="P55" s="218"/>
      <c r="Q55" s="218"/>
    </row>
    <row r="56" hidden="1" outlineLevel="1">
      <c r="A56" s="218"/>
      <c r="B56" s="218"/>
      <c r="C56" s="12"/>
      <c r="O56" s="13"/>
      <c r="P56" s="218"/>
      <c r="Q56" s="218"/>
    </row>
    <row r="57" hidden="1" outlineLevel="1">
      <c r="A57" s="218"/>
      <c r="B57" s="218"/>
      <c r="C57" s="12"/>
      <c r="O57" s="13"/>
      <c r="P57" s="218"/>
      <c r="Q57" s="218"/>
    </row>
    <row r="58" hidden="1" outlineLevel="1">
      <c r="A58" s="218"/>
      <c r="B58" s="218"/>
      <c r="C58" s="12"/>
      <c r="O58" s="13"/>
      <c r="P58" s="218"/>
      <c r="Q58" s="218"/>
    </row>
    <row r="59" hidden="1" outlineLevel="1">
      <c r="A59" s="218"/>
      <c r="B59" s="218"/>
      <c r="C59" s="12"/>
      <c r="O59" s="13"/>
      <c r="P59" s="218"/>
      <c r="Q59" s="218"/>
    </row>
    <row r="60" hidden="1" outlineLevel="1">
      <c r="A60" s="218"/>
      <c r="B60" s="218"/>
      <c r="C60" s="12"/>
      <c r="O60" s="13"/>
      <c r="P60" s="218"/>
      <c r="Q60" s="218"/>
    </row>
    <row r="61" hidden="1" outlineLevel="1">
      <c r="A61" s="218"/>
      <c r="B61" s="218"/>
      <c r="C61" s="12"/>
      <c r="O61" s="13"/>
      <c r="P61" s="218"/>
      <c r="Q61" s="218"/>
    </row>
    <row r="62" hidden="1" outlineLevel="1">
      <c r="A62" s="218"/>
      <c r="B62" s="218"/>
      <c r="C62" s="12"/>
      <c r="O62" s="13"/>
      <c r="P62" s="218"/>
      <c r="Q62" s="218"/>
    </row>
    <row r="63" hidden="1" outlineLevel="1">
      <c r="A63" s="218"/>
      <c r="B63" s="218"/>
      <c r="C63" s="12"/>
      <c r="O63" s="13"/>
      <c r="P63" s="218"/>
      <c r="Q63" s="218"/>
    </row>
    <row r="64" hidden="1" outlineLevel="1">
      <c r="A64" s="218"/>
      <c r="B64" s="218"/>
      <c r="C64" s="12"/>
      <c r="O64" s="13"/>
      <c r="P64" s="218"/>
      <c r="Q64" s="218"/>
    </row>
    <row r="65" hidden="1" outlineLevel="1">
      <c r="A65" s="218"/>
      <c r="B65" s="218"/>
      <c r="C65" s="12"/>
      <c r="O65" s="13"/>
      <c r="P65" s="218"/>
      <c r="Q65" s="218"/>
    </row>
    <row r="66" hidden="1" outlineLevel="1">
      <c r="A66" s="218"/>
      <c r="B66" s="218"/>
      <c r="C66" s="12"/>
      <c r="O66" s="13"/>
      <c r="P66" s="218"/>
      <c r="Q66" s="218"/>
    </row>
    <row r="67" hidden="1" outlineLevel="1">
      <c r="A67" s="218"/>
      <c r="B67" s="218"/>
      <c r="C67" s="14"/>
      <c r="D67" s="15"/>
      <c r="E67" s="15"/>
      <c r="F67" s="15"/>
      <c r="G67" s="15"/>
      <c r="H67" s="15"/>
      <c r="I67" s="15"/>
      <c r="J67" s="15"/>
      <c r="K67" s="15"/>
      <c r="L67" s="15"/>
      <c r="M67" s="15"/>
      <c r="N67" s="15"/>
      <c r="O67" s="16"/>
      <c r="P67" s="218"/>
      <c r="Q67" s="218"/>
    </row>
    <row r="68">
      <c r="A68" s="218"/>
      <c r="B68" s="218"/>
      <c r="C68" s="218"/>
      <c r="D68" s="218"/>
      <c r="E68" s="218"/>
      <c r="F68" s="218"/>
      <c r="G68" s="218"/>
      <c r="H68" s="218"/>
      <c r="I68" s="218"/>
      <c r="J68" s="218"/>
      <c r="K68" s="218"/>
      <c r="L68" s="218"/>
      <c r="M68" s="218"/>
      <c r="N68" s="218"/>
      <c r="O68" s="218"/>
      <c r="P68" s="218"/>
      <c r="Q68" s="218"/>
    </row>
    <row r="69" collapsed="1">
      <c r="A69" s="564" t="s">
        <v>569</v>
      </c>
      <c r="B69" s="565" t="str">
        <f>IF(ISBLANK(C69), "", IF(B69="", NOW(), IF(C69&lt;&gt;C69, NOW(), B69)))</f>
        <v/>
      </c>
      <c r="C69" s="566"/>
      <c r="D69" s="10"/>
      <c r="E69" s="10"/>
      <c r="F69" s="10"/>
      <c r="G69" s="10"/>
      <c r="H69" s="10"/>
      <c r="I69" s="10"/>
      <c r="J69" s="10"/>
      <c r="K69" s="10"/>
      <c r="L69" s="10"/>
      <c r="M69" s="10"/>
      <c r="N69" s="10"/>
      <c r="O69" s="11"/>
      <c r="P69" s="218"/>
      <c r="Q69" s="218"/>
    </row>
    <row r="70" hidden="1" outlineLevel="1">
      <c r="A70" s="218"/>
      <c r="B70" s="218"/>
      <c r="C70" s="12"/>
      <c r="O70" s="13"/>
      <c r="P70" s="218"/>
      <c r="Q70" s="218"/>
    </row>
    <row r="71" hidden="1" outlineLevel="1">
      <c r="A71" s="218"/>
      <c r="B71" s="218"/>
      <c r="C71" s="12"/>
      <c r="O71" s="13"/>
      <c r="P71" s="218"/>
      <c r="Q71" s="218"/>
    </row>
    <row r="72" hidden="1" outlineLevel="1">
      <c r="A72" s="218"/>
      <c r="B72" s="218"/>
      <c r="C72" s="12"/>
      <c r="O72" s="13"/>
      <c r="P72" s="218"/>
      <c r="Q72" s="218"/>
    </row>
    <row r="73" hidden="1" outlineLevel="1">
      <c r="A73" s="218"/>
      <c r="B73" s="218"/>
      <c r="C73" s="12"/>
      <c r="O73" s="13"/>
      <c r="P73" s="218"/>
      <c r="Q73" s="218"/>
    </row>
    <row r="74" hidden="1" outlineLevel="1">
      <c r="A74" s="218"/>
      <c r="B74" s="218"/>
      <c r="C74" s="12"/>
      <c r="O74" s="13"/>
      <c r="P74" s="218"/>
      <c r="Q74" s="218"/>
    </row>
    <row r="75" hidden="1" outlineLevel="1">
      <c r="A75" s="218"/>
      <c r="B75" s="218"/>
      <c r="C75" s="12"/>
      <c r="O75" s="13"/>
      <c r="P75" s="218"/>
      <c r="Q75" s="218"/>
    </row>
    <row r="76" hidden="1" outlineLevel="1">
      <c r="A76" s="218"/>
      <c r="B76" s="218"/>
      <c r="C76" s="12"/>
      <c r="O76" s="13"/>
      <c r="P76" s="218"/>
      <c r="Q76" s="218"/>
    </row>
    <row r="77" hidden="1" outlineLevel="1">
      <c r="A77" s="218"/>
      <c r="B77" s="218"/>
      <c r="C77" s="12"/>
      <c r="O77" s="13"/>
      <c r="P77" s="218"/>
      <c r="Q77" s="218"/>
    </row>
    <row r="78" hidden="1" outlineLevel="1">
      <c r="A78" s="218"/>
      <c r="B78" s="218"/>
      <c r="C78" s="12"/>
      <c r="O78" s="13"/>
      <c r="P78" s="218"/>
      <c r="Q78" s="218"/>
    </row>
    <row r="79" hidden="1" outlineLevel="1">
      <c r="A79" s="218"/>
      <c r="B79" s="218"/>
      <c r="C79" s="12"/>
      <c r="O79" s="13"/>
      <c r="P79" s="218"/>
      <c r="Q79" s="218"/>
    </row>
    <row r="80" hidden="1" outlineLevel="1">
      <c r="A80" s="218"/>
      <c r="B80" s="218"/>
      <c r="C80" s="12"/>
      <c r="O80" s="13"/>
      <c r="P80" s="218"/>
      <c r="Q80" s="218"/>
    </row>
    <row r="81" hidden="1" outlineLevel="1">
      <c r="A81" s="218"/>
      <c r="B81" s="218"/>
      <c r="C81" s="12"/>
      <c r="O81" s="13"/>
      <c r="P81" s="218"/>
      <c r="Q81" s="218"/>
    </row>
    <row r="82" hidden="1" outlineLevel="1">
      <c r="A82" s="218"/>
      <c r="B82" s="218"/>
      <c r="C82" s="12"/>
      <c r="O82" s="13"/>
      <c r="P82" s="218"/>
      <c r="Q82" s="218"/>
    </row>
    <row r="83" hidden="1" outlineLevel="1">
      <c r="A83" s="218"/>
      <c r="B83" s="218"/>
      <c r="C83" s="12"/>
      <c r="O83" s="13"/>
      <c r="P83" s="218"/>
      <c r="Q83" s="218"/>
    </row>
    <row r="84" hidden="1" outlineLevel="1">
      <c r="A84" s="218"/>
      <c r="B84" s="218"/>
      <c r="C84" s="14"/>
      <c r="D84" s="15"/>
      <c r="E84" s="15"/>
      <c r="F84" s="15"/>
      <c r="G84" s="15"/>
      <c r="H84" s="15"/>
      <c r="I84" s="15"/>
      <c r="J84" s="15"/>
      <c r="K84" s="15"/>
      <c r="L84" s="15"/>
      <c r="M84" s="15"/>
      <c r="N84" s="15"/>
      <c r="O84" s="16"/>
      <c r="P84" s="218"/>
      <c r="Q84" s="218"/>
    </row>
    <row r="85">
      <c r="A85" s="218"/>
      <c r="B85" s="218"/>
      <c r="C85" s="218"/>
      <c r="D85" s="218"/>
      <c r="E85" s="218"/>
      <c r="F85" s="218"/>
      <c r="G85" s="218"/>
      <c r="H85" s="218"/>
      <c r="I85" s="218"/>
      <c r="J85" s="218"/>
      <c r="K85" s="218"/>
      <c r="L85" s="218"/>
      <c r="M85" s="218"/>
      <c r="N85" s="218"/>
      <c r="O85" s="218"/>
      <c r="P85" s="218"/>
      <c r="Q85" s="218"/>
    </row>
    <row r="86" collapsed="1">
      <c r="A86" s="564" t="s">
        <v>569</v>
      </c>
      <c r="B86" s="565" t="str">
        <f>IF(ISBLANK(C86), "", IF(B86="", NOW(), IF(C86&lt;&gt;C86, NOW(), B86)))</f>
        <v/>
      </c>
      <c r="C86" s="566"/>
      <c r="D86" s="10"/>
      <c r="E86" s="10"/>
      <c r="F86" s="10"/>
      <c r="G86" s="10"/>
      <c r="H86" s="10"/>
      <c r="I86" s="10"/>
      <c r="J86" s="10"/>
      <c r="K86" s="10"/>
      <c r="L86" s="10"/>
      <c r="M86" s="10"/>
      <c r="N86" s="10"/>
      <c r="O86" s="11"/>
      <c r="P86" s="218"/>
      <c r="Q86" s="218"/>
    </row>
    <row r="87" hidden="1" outlineLevel="1">
      <c r="A87" s="218"/>
      <c r="B87" s="218"/>
      <c r="C87" s="12"/>
      <c r="O87" s="13"/>
      <c r="P87" s="218"/>
      <c r="Q87" s="218"/>
    </row>
    <row r="88" hidden="1" outlineLevel="1">
      <c r="A88" s="218"/>
      <c r="B88" s="218"/>
      <c r="C88" s="12"/>
      <c r="O88" s="13"/>
      <c r="P88" s="218"/>
      <c r="Q88" s="218"/>
    </row>
    <row r="89" hidden="1" outlineLevel="1">
      <c r="A89" s="218"/>
      <c r="B89" s="218"/>
      <c r="C89" s="12"/>
      <c r="O89" s="13"/>
      <c r="P89" s="218"/>
      <c r="Q89" s="218"/>
    </row>
    <row r="90" hidden="1" outlineLevel="1">
      <c r="A90" s="218"/>
      <c r="B90" s="218"/>
      <c r="C90" s="12"/>
      <c r="O90" s="13"/>
      <c r="P90" s="218"/>
      <c r="Q90" s="218"/>
    </row>
    <row r="91" hidden="1" outlineLevel="1">
      <c r="A91" s="218"/>
      <c r="B91" s="218"/>
      <c r="C91" s="12"/>
      <c r="O91" s="13"/>
      <c r="P91" s="218"/>
      <c r="Q91" s="218"/>
    </row>
    <row r="92" hidden="1" outlineLevel="1">
      <c r="A92" s="218"/>
      <c r="B92" s="218"/>
      <c r="C92" s="12"/>
      <c r="O92" s="13"/>
      <c r="P92" s="218"/>
      <c r="Q92" s="218"/>
    </row>
    <row r="93" hidden="1" outlineLevel="1">
      <c r="A93" s="218"/>
      <c r="B93" s="218"/>
      <c r="C93" s="12"/>
      <c r="O93" s="13"/>
      <c r="P93" s="218"/>
      <c r="Q93" s="218"/>
    </row>
    <row r="94" hidden="1" outlineLevel="1">
      <c r="A94" s="218"/>
      <c r="B94" s="218"/>
      <c r="C94" s="12"/>
      <c r="O94" s="13"/>
      <c r="P94" s="218"/>
      <c r="Q94" s="218"/>
    </row>
    <row r="95" hidden="1" outlineLevel="1">
      <c r="A95" s="218"/>
      <c r="B95" s="218"/>
      <c r="C95" s="12"/>
      <c r="O95" s="13"/>
      <c r="P95" s="218"/>
      <c r="Q95" s="218"/>
    </row>
    <row r="96" hidden="1" outlineLevel="1">
      <c r="A96" s="218"/>
      <c r="B96" s="218"/>
      <c r="C96" s="12"/>
      <c r="O96" s="13"/>
      <c r="P96" s="218"/>
      <c r="Q96" s="218"/>
    </row>
    <row r="97" hidden="1" outlineLevel="1">
      <c r="A97" s="218"/>
      <c r="B97" s="218"/>
      <c r="C97" s="12"/>
      <c r="O97" s="13"/>
      <c r="P97" s="218"/>
      <c r="Q97" s="218"/>
    </row>
    <row r="98" hidden="1" outlineLevel="1">
      <c r="A98" s="218"/>
      <c r="B98" s="218"/>
      <c r="C98" s="12"/>
      <c r="O98" s="13"/>
      <c r="P98" s="218"/>
      <c r="Q98" s="218"/>
    </row>
    <row r="99" hidden="1" outlineLevel="1">
      <c r="A99" s="218"/>
      <c r="B99" s="218"/>
      <c r="C99" s="12"/>
      <c r="O99" s="13"/>
      <c r="P99" s="218"/>
      <c r="Q99" s="218"/>
    </row>
    <row r="100" hidden="1" outlineLevel="1">
      <c r="A100" s="218"/>
      <c r="B100" s="218"/>
      <c r="C100" s="12"/>
      <c r="O100" s="13"/>
      <c r="P100" s="218"/>
      <c r="Q100" s="218"/>
    </row>
    <row r="101" hidden="1" outlineLevel="1">
      <c r="A101" s="218"/>
      <c r="B101" s="218"/>
      <c r="C101" s="14"/>
      <c r="D101" s="15"/>
      <c r="E101" s="15"/>
      <c r="F101" s="15"/>
      <c r="G101" s="15"/>
      <c r="H101" s="15"/>
      <c r="I101" s="15"/>
      <c r="J101" s="15"/>
      <c r="K101" s="15"/>
      <c r="L101" s="15"/>
      <c r="M101" s="15"/>
      <c r="N101" s="15"/>
      <c r="O101" s="16"/>
      <c r="P101" s="218"/>
      <c r="Q101" s="218"/>
    </row>
    <row r="102">
      <c r="A102" s="218"/>
      <c r="B102" s="218"/>
      <c r="C102" s="218"/>
      <c r="D102" s="218"/>
      <c r="E102" s="218"/>
      <c r="F102" s="218"/>
      <c r="G102" s="218"/>
      <c r="H102" s="218"/>
      <c r="I102" s="218"/>
      <c r="J102" s="218"/>
      <c r="K102" s="218"/>
      <c r="L102" s="218"/>
      <c r="M102" s="218"/>
      <c r="N102" s="218"/>
      <c r="O102" s="218"/>
      <c r="P102" s="218"/>
      <c r="Q102" s="218"/>
    </row>
    <row r="103" collapsed="1">
      <c r="A103" s="564" t="s">
        <v>569</v>
      </c>
      <c r="B103" s="565" t="str">
        <f>IF(ISBLANK(C103), "", IF(B103="", NOW(), IF(C103&lt;&gt;C103, NOW(), B103)))</f>
        <v/>
      </c>
      <c r="C103" s="566"/>
      <c r="D103" s="10"/>
      <c r="E103" s="10"/>
      <c r="F103" s="10"/>
      <c r="G103" s="10"/>
      <c r="H103" s="10"/>
      <c r="I103" s="10"/>
      <c r="J103" s="10"/>
      <c r="K103" s="10"/>
      <c r="L103" s="10"/>
      <c r="M103" s="10"/>
      <c r="N103" s="10"/>
      <c r="O103" s="11"/>
      <c r="P103" s="218"/>
      <c r="Q103" s="218"/>
    </row>
    <row r="104" hidden="1" outlineLevel="1">
      <c r="A104" s="218"/>
      <c r="B104" s="218"/>
      <c r="C104" s="12"/>
      <c r="O104" s="13"/>
      <c r="P104" s="218"/>
      <c r="Q104" s="218"/>
    </row>
    <row r="105" hidden="1" outlineLevel="1">
      <c r="A105" s="218"/>
      <c r="B105" s="218"/>
      <c r="C105" s="12"/>
      <c r="O105" s="13"/>
      <c r="P105" s="218"/>
      <c r="Q105" s="218"/>
    </row>
    <row r="106" hidden="1" outlineLevel="1">
      <c r="A106" s="218"/>
      <c r="B106" s="218"/>
      <c r="C106" s="12"/>
      <c r="O106" s="13"/>
      <c r="P106" s="218"/>
      <c r="Q106" s="218"/>
    </row>
    <row r="107" hidden="1" outlineLevel="1">
      <c r="A107" s="218"/>
      <c r="B107" s="218"/>
      <c r="C107" s="12"/>
      <c r="O107" s="13"/>
      <c r="P107" s="218"/>
      <c r="Q107" s="218"/>
    </row>
    <row r="108" hidden="1" outlineLevel="1">
      <c r="A108" s="218"/>
      <c r="B108" s="218"/>
      <c r="C108" s="12"/>
      <c r="O108" s="13"/>
      <c r="P108" s="218"/>
      <c r="Q108" s="218"/>
    </row>
    <row r="109" hidden="1" outlineLevel="1">
      <c r="A109" s="218"/>
      <c r="B109" s="218"/>
      <c r="C109" s="12"/>
      <c r="O109" s="13"/>
      <c r="P109" s="218"/>
      <c r="Q109" s="218"/>
    </row>
    <row r="110" hidden="1" outlineLevel="1">
      <c r="A110" s="218"/>
      <c r="B110" s="218"/>
      <c r="C110" s="12"/>
      <c r="O110" s="13"/>
      <c r="P110" s="218"/>
      <c r="Q110" s="218"/>
    </row>
    <row r="111" hidden="1" outlineLevel="1">
      <c r="A111" s="218"/>
      <c r="B111" s="218"/>
      <c r="C111" s="12"/>
      <c r="O111" s="13"/>
      <c r="P111" s="218"/>
      <c r="Q111" s="218"/>
    </row>
    <row r="112" hidden="1" outlineLevel="1">
      <c r="A112" s="218"/>
      <c r="B112" s="218"/>
      <c r="C112" s="12"/>
      <c r="O112" s="13"/>
      <c r="P112" s="218"/>
      <c r="Q112" s="218"/>
    </row>
    <row r="113" hidden="1" outlineLevel="1">
      <c r="A113" s="218"/>
      <c r="B113" s="218"/>
      <c r="C113" s="12"/>
      <c r="O113" s="13"/>
      <c r="P113" s="218"/>
      <c r="Q113" s="218"/>
    </row>
    <row r="114" hidden="1" outlineLevel="1">
      <c r="A114" s="218"/>
      <c r="B114" s="218"/>
      <c r="C114" s="12"/>
      <c r="O114" s="13"/>
      <c r="P114" s="218"/>
      <c r="Q114" s="218"/>
    </row>
    <row r="115" hidden="1" outlineLevel="1">
      <c r="A115" s="218"/>
      <c r="B115" s="218"/>
      <c r="C115" s="12"/>
      <c r="O115" s="13"/>
      <c r="P115" s="218"/>
      <c r="Q115" s="218"/>
    </row>
    <row r="116" hidden="1" outlineLevel="1">
      <c r="A116" s="218"/>
      <c r="B116" s="218"/>
      <c r="C116" s="12"/>
      <c r="O116" s="13"/>
      <c r="P116" s="218"/>
      <c r="Q116" s="218"/>
    </row>
    <row r="117" hidden="1" outlineLevel="1">
      <c r="A117" s="218"/>
      <c r="B117" s="218"/>
      <c r="C117" s="12"/>
      <c r="O117" s="13"/>
      <c r="P117" s="218"/>
      <c r="Q117" s="218"/>
    </row>
    <row r="118" hidden="1" outlineLevel="1">
      <c r="A118" s="218"/>
      <c r="B118" s="218"/>
      <c r="C118" s="14"/>
      <c r="D118" s="15"/>
      <c r="E118" s="15"/>
      <c r="F118" s="15"/>
      <c r="G118" s="15"/>
      <c r="H118" s="15"/>
      <c r="I118" s="15"/>
      <c r="J118" s="15"/>
      <c r="K118" s="15"/>
      <c r="L118" s="15"/>
      <c r="M118" s="15"/>
      <c r="N118" s="15"/>
      <c r="O118" s="16"/>
      <c r="P118" s="218"/>
      <c r="Q118" s="218"/>
    </row>
    <row r="119">
      <c r="A119" s="218"/>
      <c r="B119" s="218"/>
      <c r="C119" s="218"/>
      <c r="D119" s="218"/>
      <c r="E119" s="218"/>
      <c r="F119" s="218"/>
      <c r="G119" s="218"/>
      <c r="H119" s="218"/>
      <c r="I119" s="218"/>
      <c r="J119" s="218"/>
      <c r="K119" s="218"/>
      <c r="L119" s="218"/>
      <c r="M119" s="218"/>
      <c r="N119" s="218"/>
      <c r="O119" s="218"/>
      <c r="P119" s="218"/>
      <c r="Q119" s="218"/>
    </row>
    <row r="120" collapsed="1">
      <c r="A120" s="564" t="s">
        <v>569</v>
      </c>
      <c r="B120" s="565" t="str">
        <f>IF(ISBLANK(C120), "", IF(B120="", NOW(), IF(C120&lt;&gt;C120, NOW(), B120)))</f>
        <v/>
      </c>
      <c r="C120" s="566"/>
      <c r="D120" s="10"/>
      <c r="E120" s="10"/>
      <c r="F120" s="10"/>
      <c r="G120" s="10"/>
      <c r="H120" s="10"/>
      <c r="I120" s="10"/>
      <c r="J120" s="10"/>
      <c r="K120" s="10"/>
      <c r="L120" s="10"/>
      <c r="M120" s="10"/>
      <c r="N120" s="10"/>
      <c r="O120" s="11"/>
      <c r="P120" s="218"/>
      <c r="Q120" s="218"/>
    </row>
    <row r="121" hidden="1" outlineLevel="1">
      <c r="A121" s="218"/>
      <c r="B121" s="218"/>
      <c r="C121" s="12"/>
      <c r="O121" s="13"/>
      <c r="P121" s="218"/>
      <c r="Q121" s="218"/>
    </row>
    <row r="122" hidden="1" outlineLevel="1">
      <c r="A122" s="218"/>
      <c r="B122" s="218"/>
      <c r="C122" s="12"/>
      <c r="O122" s="13"/>
      <c r="P122" s="218"/>
      <c r="Q122" s="218"/>
    </row>
    <row r="123" hidden="1" outlineLevel="1">
      <c r="A123" s="218"/>
      <c r="B123" s="218"/>
      <c r="C123" s="12"/>
      <c r="O123" s="13"/>
      <c r="P123" s="218"/>
      <c r="Q123" s="218"/>
    </row>
    <row r="124" hidden="1" outlineLevel="1">
      <c r="A124" s="218"/>
      <c r="B124" s="218"/>
      <c r="C124" s="12"/>
      <c r="O124" s="13"/>
      <c r="P124" s="218"/>
      <c r="Q124" s="218"/>
    </row>
    <row r="125" hidden="1" outlineLevel="1">
      <c r="A125" s="218"/>
      <c r="B125" s="218"/>
      <c r="C125" s="12"/>
      <c r="O125" s="13"/>
      <c r="P125" s="218"/>
      <c r="Q125" s="218"/>
    </row>
    <row r="126" hidden="1" outlineLevel="1">
      <c r="A126" s="218"/>
      <c r="B126" s="218"/>
      <c r="C126" s="12"/>
      <c r="O126" s="13"/>
      <c r="P126" s="218"/>
      <c r="Q126" s="218"/>
    </row>
    <row r="127" hidden="1" outlineLevel="1">
      <c r="A127" s="218"/>
      <c r="B127" s="218"/>
      <c r="C127" s="12"/>
      <c r="O127" s="13"/>
      <c r="P127" s="218"/>
      <c r="Q127" s="218"/>
    </row>
    <row r="128" hidden="1" outlineLevel="1">
      <c r="A128" s="218"/>
      <c r="B128" s="218"/>
      <c r="C128" s="12"/>
      <c r="O128" s="13"/>
      <c r="P128" s="218"/>
      <c r="Q128" s="218"/>
    </row>
    <row r="129" hidden="1" outlineLevel="1">
      <c r="A129" s="218"/>
      <c r="B129" s="218"/>
      <c r="C129" s="12"/>
      <c r="O129" s="13"/>
      <c r="P129" s="218"/>
      <c r="Q129" s="218"/>
    </row>
    <row r="130" hidden="1" outlineLevel="1">
      <c r="A130" s="218"/>
      <c r="B130" s="218"/>
      <c r="C130" s="12"/>
      <c r="O130" s="13"/>
      <c r="P130" s="218"/>
      <c r="Q130" s="218"/>
    </row>
    <row r="131" hidden="1" outlineLevel="1">
      <c r="A131" s="218"/>
      <c r="B131" s="218"/>
      <c r="C131" s="12"/>
      <c r="O131" s="13"/>
      <c r="P131" s="218"/>
      <c r="Q131" s="218"/>
    </row>
    <row r="132" hidden="1" outlineLevel="1">
      <c r="A132" s="218"/>
      <c r="B132" s="218"/>
      <c r="C132" s="12"/>
      <c r="O132" s="13"/>
      <c r="P132" s="218"/>
      <c r="Q132" s="218"/>
    </row>
    <row r="133" hidden="1" outlineLevel="1">
      <c r="A133" s="218"/>
      <c r="B133" s="218"/>
      <c r="C133" s="12"/>
      <c r="O133" s="13"/>
      <c r="P133" s="218"/>
      <c r="Q133" s="218"/>
    </row>
    <row r="134" hidden="1" outlineLevel="1">
      <c r="A134" s="218"/>
      <c r="B134" s="218"/>
      <c r="C134" s="12"/>
      <c r="O134" s="13"/>
      <c r="P134" s="218"/>
      <c r="Q134" s="218"/>
    </row>
    <row r="135" hidden="1" outlineLevel="1">
      <c r="A135" s="218"/>
      <c r="B135" s="218"/>
      <c r="C135" s="14"/>
      <c r="D135" s="15"/>
      <c r="E135" s="15"/>
      <c r="F135" s="15"/>
      <c r="G135" s="15"/>
      <c r="H135" s="15"/>
      <c r="I135" s="15"/>
      <c r="J135" s="15"/>
      <c r="K135" s="15"/>
      <c r="L135" s="15"/>
      <c r="M135" s="15"/>
      <c r="N135" s="15"/>
      <c r="O135" s="16"/>
      <c r="P135" s="218"/>
      <c r="Q135" s="218"/>
    </row>
    <row r="136">
      <c r="A136" s="218"/>
      <c r="B136" s="218"/>
      <c r="C136" s="218"/>
      <c r="D136" s="218"/>
      <c r="E136" s="218"/>
      <c r="F136" s="218"/>
      <c r="G136" s="218"/>
      <c r="H136" s="218"/>
      <c r="I136" s="218"/>
      <c r="J136" s="218"/>
      <c r="K136" s="218"/>
      <c r="L136" s="218"/>
      <c r="M136" s="218"/>
      <c r="N136" s="218"/>
      <c r="O136" s="218"/>
      <c r="P136" s="218"/>
      <c r="Q136" s="218"/>
    </row>
    <row r="137" collapsed="1">
      <c r="A137" s="564" t="s">
        <v>569</v>
      </c>
      <c r="B137" s="565" t="str">
        <f>IF(ISBLANK(C137), "", IF(B137="", NOW(), IF(C137&lt;&gt;C137, NOW(), B137)))</f>
        <v/>
      </c>
      <c r="C137" s="566"/>
      <c r="D137" s="10"/>
      <c r="E137" s="10"/>
      <c r="F137" s="10"/>
      <c r="G137" s="10"/>
      <c r="H137" s="10"/>
      <c r="I137" s="10"/>
      <c r="J137" s="10"/>
      <c r="K137" s="10"/>
      <c r="L137" s="10"/>
      <c r="M137" s="10"/>
      <c r="N137" s="10"/>
      <c r="O137" s="11"/>
      <c r="P137" s="218"/>
      <c r="Q137" s="218"/>
    </row>
    <row r="138" hidden="1" outlineLevel="1">
      <c r="A138" s="218"/>
      <c r="B138" s="218"/>
      <c r="C138" s="12"/>
      <c r="O138" s="13"/>
      <c r="P138" s="218"/>
      <c r="Q138" s="218"/>
    </row>
    <row r="139" hidden="1" outlineLevel="1">
      <c r="A139" s="218"/>
      <c r="B139" s="218"/>
      <c r="C139" s="12"/>
      <c r="O139" s="13"/>
      <c r="P139" s="218"/>
      <c r="Q139" s="218"/>
    </row>
    <row r="140" hidden="1" outlineLevel="1">
      <c r="A140" s="218"/>
      <c r="B140" s="218"/>
      <c r="C140" s="12"/>
      <c r="O140" s="13"/>
      <c r="P140" s="218"/>
      <c r="Q140" s="218"/>
    </row>
    <row r="141" hidden="1" outlineLevel="1">
      <c r="A141" s="218"/>
      <c r="B141" s="218"/>
      <c r="C141" s="12"/>
      <c r="O141" s="13"/>
      <c r="P141" s="218"/>
      <c r="Q141" s="218"/>
    </row>
    <row r="142" hidden="1" outlineLevel="1">
      <c r="A142" s="218"/>
      <c r="B142" s="218"/>
      <c r="C142" s="12"/>
      <c r="O142" s="13"/>
      <c r="P142" s="218"/>
      <c r="Q142" s="218"/>
    </row>
    <row r="143" hidden="1" outlineLevel="1">
      <c r="A143" s="218"/>
      <c r="B143" s="218"/>
      <c r="C143" s="12"/>
      <c r="O143" s="13"/>
      <c r="P143" s="218"/>
      <c r="Q143" s="218"/>
    </row>
    <row r="144" hidden="1" outlineLevel="1">
      <c r="A144" s="218"/>
      <c r="B144" s="218"/>
      <c r="C144" s="12"/>
      <c r="O144" s="13"/>
      <c r="P144" s="218"/>
      <c r="Q144" s="218"/>
    </row>
    <row r="145" hidden="1" outlineLevel="1">
      <c r="A145" s="218"/>
      <c r="B145" s="218"/>
      <c r="C145" s="12"/>
      <c r="O145" s="13"/>
      <c r="P145" s="218"/>
      <c r="Q145" s="218"/>
    </row>
    <row r="146" hidden="1" outlineLevel="1">
      <c r="A146" s="218"/>
      <c r="B146" s="218"/>
      <c r="C146" s="12"/>
      <c r="O146" s="13"/>
      <c r="P146" s="218"/>
      <c r="Q146" s="218"/>
    </row>
    <row r="147" hidden="1" outlineLevel="1">
      <c r="A147" s="218"/>
      <c r="B147" s="218"/>
      <c r="C147" s="12"/>
      <c r="O147" s="13"/>
      <c r="P147" s="218"/>
      <c r="Q147" s="218"/>
    </row>
    <row r="148" hidden="1" outlineLevel="1">
      <c r="A148" s="218"/>
      <c r="B148" s="218"/>
      <c r="C148" s="12"/>
      <c r="O148" s="13"/>
      <c r="P148" s="218"/>
      <c r="Q148" s="218"/>
    </row>
    <row r="149" hidden="1" outlineLevel="1">
      <c r="A149" s="218"/>
      <c r="B149" s="218"/>
      <c r="C149" s="12"/>
      <c r="O149" s="13"/>
      <c r="P149" s="218"/>
      <c r="Q149" s="218"/>
    </row>
    <row r="150" hidden="1" outlineLevel="1">
      <c r="A150" s="218"/>
      <c r="B150" s="218"/>
      <c r="C150" s="12"/>
      <c r="O150" s="13"/>
      <c r="P150" s="218"/>
      <c r="Q150" s="218"/>
    </row>
    <row r="151" hidden="1" outlineLevel="1">
      <c r="A151" s="218"/>
      <c r="B151" s="218"/>
      <c r="C151" s="12"/>
      <c r="O151" s="13"/>
      <c r="P151" s="218"/>
      <c r="Q151" s="218"/>
    </row>
    <row r="152" hidden="1" outlineLevel="1">
      <c r="A152" s="218"/>
      <c r="B152" s="218"/>
      <c r="C152" s="14"/>
      <c r="D152" s="15"/>
      <c r="E152" s="15"/>
      <c r="F152" s="15"/>
      <c r="G152" s="15"/>
      <c r="H152" s="15"/>
      <c r="I152" s="15"/>
      <c r="J152" s="15"/>
      <c r="K152" s="15"/>
      <c r="L152" s="15"/>
      <c r="M152" s="15"/>
      <c r="N152" s="15"/>
      <c r="O152" s="16"/>
      <c r="P152" s="218"/>
      <c r="Q152" s="218"/>
    </row>
    <row r="153">
      <c r="A153" s="218"/>
      <c r="B153" s="218"/>
      <c r="C153" s="218"/>
      <c r="D153" s="218"/>
      <c r="E153" s="218"/>
      <c r="F153" s="218"/>
      <c r="G153" s="218"/>
      <c r="H153" s="218"/>
      <c r="I153" s="218"/>
      <c r="J153" s="218"/>
      <c r="K153" s="218"/>
      <c r="L153" s="218"/>
      <c r="M153" s="218"/>
      <c r="N153" s="218"/>
      <c r="O153" s="218"/>
      <c r="P153" s="218"/>
      <c r="Q153" s="218"/>
    </row>
    <row r="154" collapsed="1">
      <c r="A154" s="564" t="s">
        <v>569</v>
      </c>
      <c r="B154" s="565" t="str">
        <f>IF(ISBLANK(C154), "", IF(B154="", NOW(), IF(C154&lt;&gt;C154, NOW(), B154)))</f>
        <v/>
      </c>
      <c r="C154" s="566"/>
      <c r="D154" s="10"/>
      <c r="E154" s="10"/>
      <c r="F154" s="10"/>
      <c r="G154" s="10"/>
      <c r="H154" s="10"/>
      <c r="I154" s="10"/>
      <c r="J154" s="10"/>
      <c r="K154" s="10"/>
      <c r="L154" s="10"/>
      <c r="M154" s="10"/>
      <c r="N154" s="10"/>
      <c r="O154" s="11"/>
      <c r="P154" s="218"/>
      <c r="Q154" s="218"/>
    </row>
    <row r="155" hidden="1" outlineLevel="1">
      <c r="A155" s="218"/>
      <c r="B155" s="218"/>
      <c r="C155" s="12"/>
      <c r="O155" s="13"/>
      <c r="P155" s="218"/>
      <c r="Q155" s="218"/>
    </row>
    <row r="156" hidden="1" outlineLevel="1">
      <c r="A156" s="218"/>
      <c r="B156" s="218"/>
      <c r="C156" s="12"/>
      <c r="O156" s="13"/>
      <c r="P156" s="218"/>
      <c r="Q156" s="218"/>
    </row>
    <row r="157" hidden="1" outlineLevel="1">
      <c r="A157" s="218"/>
      <c r="B157" s="218"/>
      <c r="C157" s="12"/>
      <c r="O157" s="13"/>
      <c r="P157" s="218"/>
      <c r="Q157" s="218"/>
    </row>
    <row r="158" hidden="1" outlineLevel="1">
      <c r="A158" s="218"/>
      <c r="B158" s="218"/>
      <c r="C158" s="12"/>
      <c r="O158" s="13"/>
      <c r="P158" s="218"/>
      <c r="Q158" s="218"/>
    </row>
    <row r="159" hidden="1" outlineLevel="1">
      <c r="A159" s="218"/>
      <c r="B159" s="218"/>
      <c r="C159" s="12"/>
      <c r="O159" s="13"/>
      <c r="P159" s="218"/>
      <c r="Q159" s="218"/>
    </row>
    <row r="160" hidden="1" outlineLevel="1">
      <c r="A160" s="218"/>
      <c r="B160" s="218"/>
      <c r="C160" s="12"/>
      <c r="O160" s="13"/>
      <c r="P160" s="218"/>
      <c r="Q160" s="218"/>
    </row>
    <row r="161" hidden="1" outlineLevel="1">
      <c r="A161" s="218"/>
      <c r="B161" s="218"/>
      <c r="C161" s="12"/>
      <c r="O161" s="13"/>
      <c r="P161" s="218"/>
      <c r="Q161" s="218"/>
    </row>
    <row r="162" hidden="1" outlineLevel="1">
      <c r="A162" s="218"/>
      <c r="B162" s="218"/>
      <c r="C162" s="12"/>
      <c r="O162" s="13"/>
      <c r="P162" s="218"/>
      <c r="Q162" s="218"/>
    </row>
    <row r="163" hidden="1" outlineLevel="1">
      <c r="A163" s="218"/>
      <c r="B163" s="218"/>
      <c r="C163" s="12"/>
      <c r="O163" s="13"/>
      <c r="P163" s="218"/>
      <c r="Q163" s="218"/>
    </row>
    <row r="164" hidden="1" outlineLevel="1">
      <c r="A164" s="218"/>
      <c r="B164" s="218"/>
      <c r="C164" s="12"/>
      <c r="O164" s="13"/>
      <c r="P164" s="218"/>
      <c r="Q164" s="218"/>
    </row>
    <row r="165" hidden="1" outlineLevel="1">
      <c r="A165" s="218"/>
      <c r="B165" s="218"/>
      <c r="C165" s="12"/>
      <c r="O165" s="13"/>
      <c r="P165" s="218"/>
      <c r="Q165" s="218"/>
    </row>
    <row r="166" hidden="1" outlineLevel="1">
      <c r="A166" s="218"/>
      <c r="B166" s="218"/>
      <c r="C166" s="12"/>
      <c r="O166" s="13"/>
      <c r="P166" s="218"/>
      <c r="Q166" s="218"/>
    </row>
    <row r="167" hidden="1" outlineLevel="1">
      <c r="A167" s="218"/>
      <c r="B167" s="218"/>
      <c r="C167" s="12"/>
      <c r="O167" s="13"/>
      <c r="P167" s="218"/>
      <c r="Q167" s="218"/>
    </row>
    <row r="168" hidden="1" outlineLevel="1">
      <c r="A168" s="218"/>
      <c r="B168" s="218"/>
      <c r="C168" s="12"/>
      <c r="O168" s="13"/>
      <c r="P168" s="218"/>
      <c r="Q168" s="218"/>
    </row>
    <row r="169" hidden="1" outlineLevel="1">
      <c r="A169" s="218"/>
      <c r="B169" s="218"/>
      <c r="C169" s="14"/>
      <c r="D169" s="15"/>
      <c r="E169" s="15"/>
      <c r="F169" s="15"/>
      <c r="G169" s="15"/>
      <c r="H169" s="15"/>
      <c r="I169" s="15"/>
      <c r="J169" s="15"/>
      <c r="K169" s="15"/>
      <c r="L169" s="15"/>
      <c r="M169" s="15"/>
      <c r="N169" s="15"/>
      <c r="O169" s="16"/>
      <c r="P169" s="218"/>
      <c r="Q169" s="218"/>
    </row>
    <row r="170">
      <c r="A170" s="218"/>
      <c r="B170" s="218"/>
      <c r="C170" s="218"/>
      <c r="D170" s="218"/>
      <c r="E170" s="218"/>
      <c r="F170" s="218"/>
      <c r="G170" s="218"/>
      <c r="H170" s="218"/>
      <c r="I170" s="218"/>
      <c r="J170" s="218"/>
      <c r="K170" s="218"/>
      <c r="L170" s="218"/>
      <c r="M170" s="218"/>
      <c r="N170" s="218"/>
      <c r="O170" s="218"/>
      <c r="P170" s="218"/>
      <c r="Q170" s="218"/>
    </row>
    <row r="171" collapsed="1">
      <c r="A171" s="564" t="s">
        <v>569</v>
      </c>
      <c r="B171" s="565" t="str">
        <f>IF(ISBLANK(C171), "", IF(B171="", NOW(), IF(C171&lt;&gt;C171, NOW(), B171)))</f>
        <v/>
      </c>
      <c r="C171" s="566"/>
      <c r="D171" s="10"/>
      <c r="E171" s="10"/>
      <c r="F171" s="10"/>
      <c r="G171" s="10"/>
      <c r="H171" s="10"/>
      <c r="I171" s="10"/>
      <c r="J171" s="10"/>
      <c r="K171" s="10"/>
      <c r="L171" s="10"/>
      <c r="M171" s="10"/>
      <c r="N171" s="10"/>
      <c r="O171" s="11"/>
      <c r="P171" s="218"/>
      <c r="Q171" s="218"/>
    </row>
    <row r="172" hidden="1" outlineLevel="1">
      <c r="A172" s="218"/>
      <c r="B172" s="218"/>
      <c r="C172" s="12"/>
      <c r="O172" s="13"/>
      <c r="P172" s="218"/>
      <c r="Q172" s="218"/>
    </row>
    <row r="173" hidden="1" outlineLevel="1">
      <c r="A173" s="218"/>
      <c r="B173" s="218"/>
      <c r="C173" s="12"/>
      <c r="O173" s="13"/>
      <c r="P173" s="218"/>
      <c r="Q173" s="218"/>
    </row>
    <row r="174" hidden="1" outlineLevel="1">
      <c r="A174" s="218"/>
      <c r="B174" s="218"/>
      <c r="C174" s="12"/>
      <c r="O174" s="13"/>
      <c r="P174" s="218"/>
      <c r="Q174" s="218"/>
    </row>
    <row r="175" hidden="1" outlineLevel="1">
      <c r="A175" s="218"/>
      <c r="B175" s="218"/>
      <c r="C175" s="12"/>
      <c r="O175" s="13"/>
      <c r="P175" s="218"/>
      <c r="Q175" s="218"/>
    </row>
    <row r="176" hidden="1" outlineLevel="1">
      <c r="A176" s="218"/>
      <c r="B176" s="218"/>
      <c r="C176" s="12"/>
      <c r="O176" s="13"/>
      <c r="P176" s="218"/>
      <c r="Q176" s="218"/>
    </row>
    <row r="177" hidden="1" outlineLevel="1">
      <c r="A177" s="218"/>
      <c r="B177" s="218"/>
      <c r="C177" s="12"/>
      <c r="O177" s="13"/>
      <c r="P177" s="218"/>
      <c r="Q177" s="218"/>
    </row>
    <row r="178" hidden="1" outlineLevel="1">
      <c r="A178" s="218"/>
      <c r="B178" s="218"/>
      <c r="C178" s="12"/>
      <c r="O178" s="13"/>
      <c r="P178" s="218"/>
      <c r="Q178" s="218"/>
    </row>
    <row r="179" hidden="1" outlineLevel="1">
      <c r="A179" s="218"/>
      <c r="B179" s="218"/>
      <c r="C179" s="12"/>
      <c r="O179" s="13"/>
      <c r="P179" s="218"/>
      <c r="Q179" s="218"/>
    </row>
    <row r="180" hidden="1" outlineLevel="1">
      <c r="A180" s="218"/>
      <c r="B180" s="218"/>
      <c r="C180" s="12"/>
      <c r="O180" s="13"/>
      <c r="P180" s="218"/>
      <c r="Q180" s="218"/>
    </row>
    <row r="181" hidden="1" outlineLevel="1">
      <c r="A181" s="218"/>
      <c r="B181" s="218"/>
      <c r="C181" s="12"/>
      <c r="O181" s="13"/>
      <c r="P181" s="218"/>
      <c r="Q181" s="218"/>
    </row>
    <row r="182" hidden="1" outlineLevel="1">
      <c r="A182" s="218"/>
      <c r="B182" s="218"/>
      <c r="C182" s="12"/>
      <c r="O182" s="13"/>
      <c r="P182" s="218"/>
      <c r="Q182" s="218"/>
    </row>
    <row r="183" hidden="1" outlineLevel="1">
      <c r="A183" s="218"/>
      <c r="B183" s="218"/>
      <c r="C183" s="12"/>
      <c r="O183" s="13"/>
      <c r="P183" s="218"/>
      <c r="Q183" s="218"/>
    </row>
    <row r="184" hidden="1" outlineLevel="1">
      <c r="A184" s="218"/>
      <c r="B184" s="218"/>
      <c r="C184" s="12"/>
      <c r="O184" s="13"/>
      <c r="P184" s="218"/>
      <c r="Q184" s="218"/>
    </row>
    <row r="185" hidden="1" outlineLevel="1">
      <c r="A185" s="218"/>
      <c r="B185" s="218"/>
      <c r="C185" s="12"/>
      <c r="O185" s="13"/>
      <c r="P185" s="218"/>
      <c r="Q185" s="218"/>
    </row>
    <row r="186" hidden="1" outlineLevel="1">
      <c r="A186" s="218"/>
      <c r="B186" s="218"/>
      <c r="C186" s="14"/>
      <c r="D186" s="15"/>
      <c r="E186" s="15"/>
      <c r="F186" s="15"/>
      <c r="G186" s="15"/>
      <c r="H186" s="15"/>
      <c r="I186" s="15"/>
      <c r="J186" s="15"/>
      <c r="K186" s="15"/>
      <c r="L186" s="15"/>
      <c r="M186" s="15"/>
      <c r="N186" s="15"/>
      <c r="O186" s="16"/>
      <c r="P186" s="218"/>
      <c r="Q186" s="218"/>
    </row>
    <row r="187">
      <c r="A187" s="218"/>
      <c r="B187" s="218"/>
      <c r="C187" s="218"/>
      <c r="D187" s="218"/>
      <c r="E187" s="218"/>
      <c r="F187" s="218"/>
      <c r="G187" s="218"/>
      <c r="H187" s="218"/>
      <c r="I187" s="218"/>
      <c r="J187" s="218"/>
      <c r="K187" s="218"/>
      <c r="L187" s="218"/>
      <c r="M187" s="218"/>
      <c r="N187" s="218"/>
      <c r="O187" s="218"/>
      <c r="P187" s="218"/>
      <c r="Q187" s="218"/>
    </row>
    <row r="188" collapsed="1">
      <c r="A188" s="564" t="s">
        <v>569</v>
      </c>
      <c r="B188" s="565" t="str">
        <f>IF(ISBLANK(C188), "", IF(B188="", NOW(), IF(C188&lt;&gt;C188, NOW(), B188)))</f>
        <v/>
      </c>
      <c r="C188" s="566"/>
      <c r="D188" s="10"/>
      <c r="E188" s="10"/>
      <c r="F188" s="10"/>
      <c r="G188" s="10"/>
      <c r="H188" s="10"/>
      <c r="I188" s="10"/>
      <c r="J188" s="10"/>
      <c r="K188" s="10"/>
      <c r="L188" s="10"/>
      <c r="M188" s="10"/>
      <c r="N188" s="10"/>
      <c r="O188" s="11"/>
      <c r="P188" s="218"/>
      <c r="Q188" s="218"/>
    </row>
    <row r="189" hidden="1" outlineLevel="1">
      <c r="A189" s="218"/>
      <c r="B189" s="218"/>
      <c r="C189" s="12"/>
      <c r="O189" s="13"/>
      <c r="P189" s="218"/>
      <c r="Q189" s="218"/>
    </row>
    <row r="190" hidden="1" outlineLevel="1">
      <c r="A190" s="218"/>
      <c r="B190" s="218"/>
      <c r="C190" s="12"/>
      <c r="O190" s="13"/>
      <c r="P190" s="218"/>
      <c r="Q190" s="218"/>
    </row>
    <row r="191" hidden="1" outlineLevel="1">
      <c r="A191" s="218"/>
      <c r="B191" s="218"/>
      <c r="C191" s="12"/>
      <c r="O191" s="13"/>
      <c r="P191" s="218"/>
      <c r="Q191" s="218"/>
    </row>
    <row r="192" hidden="1" outlineLevel="1">
      <c r="A192" s="218"/>
      <c r="B192" s="218"/>
      <c r="C192" s="12"/>
      <c r="O192" s="13"/>
      <c r="P192" s="218"/>
      <c r="Q192" s="218"/>
    </row>
    <row r="193" hidden="1" outlineLevel="1">
      <c r="A193" s="218"/>
      <c r="B193" s="218"/>
      <c r="C193" s="12"/>
      <c r="O193" s="13"/>
      <c r="P193" s="218"/>
      <c r="Q193" s="218"/>
    </row>
    <row r="194" hidden="1" outlineLevel="1">
      <c r="A194" s="218"/>
      <c r="B194" s="218"/>
      <c r="C194" s="12"/>
      <c r="O194" s="13"/>
      <c r="P194" s="218"/>
      <c r="Q194" s="218"/>
    </row>
    <row r="195" hidden="1" outlineLevel="1">
      <c r="A195" s="218"/>
      <c r="B195" s="218"/>
      <c r="C195" s="12"/>
      <c r="O195" s="13"/>
      <c r="P195" s="218"/>
      <c r="Q195" s="218"/>
    </row>
    <row r="196" hidden="1" outlineLevel="1">
      <c r="A196" s="218"/>
      <c r="B196" s="218"/>
      <c r="C196" s="12"/>
      <c r="O196" s="13"/>
      <c r="P196" s="218"/>
      <c r="Q196" s="218"/>
    </row>
    <row r="197" hidden="1" outlineLevel="1">
      <c r="A197" s="218"/>
      <c r="B197" s="218"/>
      <c r="C197" s="12"/>
      <c r="O197" s="13"/>
      <c r="P197" s="218"/>
      <c r="Q197" s="218"/>
    </row>
    <row r="198" hidden="1" outlineLevel="1">
      <c r="A198" s="218"/>
      <c r="B198" s="218"/>
      <c r="C198" s="12"/>
      <c r="O198" s="13"/>
      <c r="P198" s="218"/>
      <c r="Q198" s="218"/>
    </row>
    <row r="199" hidden="1" outlineLevel="1">
      <c r="A199" s="218"/>
      <c r="B199" s="218"/>
      <c r="C199" s="12"/>
      <c r="O199" s="13"/>
      <c r="P199" s="218"/>
      <c r="Q199" s="218"/>
    </row>
    <row r="200" hidden="1" outlineLevel="1">
      <c r="A200" s="218"/>
      <c r="B200" s="218"/>
      <c r="C200" s="12"/>
      <c r="O200" s="13"/>
      <c r="P200" s="218"/>
      <c r="Q200" s="218"/>
    </row>
    <row r="201" hidden="1" outlineLevel="1">
      <c r="A201" s="218"/>
      <c r="B201" s="218"/>
      <c r="C201" s="12"/>
      <c r="O201" s="13"/>
      <c r="P201" s="218"/>
      <c r="Q201" s="218"/>
    </row>
    <row r="202" hidden="1" outlineLevel="1">
      <c r="A202" s="218"/>
      <c r="B202" s="218"/>
      <c r="C202" s="12"/>
      <c r="O202" s="13"/>
      <c r="P202" s="218"/>
      <c r="Q202" s="218"/>
    </row>
    <row r="203" hidden="1" outlineLevel="1">
      <c r="A203" s="218"/>
      <c r="B203" s="218"/>
      <c r="C203" s="14"/>
      <c r="D203" s="15"/>
      <c r="E203" s="15"/>
      <c r="F203" s="15"/>
      <c r="G203" s="15"/>
      <c r="H203" s="15"/>
      <c r="I203" s="15"/>
      <c r="J203" s="15"/>
      <c r="K203" s="15"/>
      <c r="L203" s="15"/>
      <c r="M203" s="15"/>
      <c r="N203" s="15"/>
      <c r="O203" s="16"/>
      <c r="P203" s="218"/>
      <c r="Q203" s="218"/>
    </row>
    <row r="204">
      <c r="A204" s="218"/>
      <c r="B204" s="218"/>
      <c r="C204" s="218"/>
      <c r="D204" s="218"/>
      <c r="E204" s="218"/>
      <c r="F204" s="218"/>
      <c r="G204" s="218"/>
      <c r="H204" s="218"/>
      <c r="I204" s="218"/>
      <c r="J204" s="218"/>
      <c r="K204" s="218"/>
      <c r="L204" s="218"/>
      <c r="M204" s="218"/>
      <c r="N204" s="218"/>
      <c r="O204" s="218"/>
      <c r="P204" s="218"/>
      <c r="Q204" s="218"/>
    </row>
    <row r="205" collapsed="1">
      <c r="A205" s="564" t="s">
        <v>569</v>
      </c>
      <c r="B205" s="565" t="str">
        <f>IF(ISBLANK(C205), "", IF(B205="", NOW(), IF(C205&lt;&gt;C205, NOW(), B205)))</f>
        <v/>
      </c>
      <c r="C205" s="566"/>
      <c r="D205" s="10"/>
      <c r="E205" s="10"/>
      <c r="F205" s="10"/>
      <c r="G205" s="10"/>
      <c r="H205" s="10"/>
      <c r="I205" s="10"/>
      <c r="J205" s="10"/>
      <c r="K205" s="10"/>
      <c r="L205" s="10"/>
      <c r="M205" s="10"/>
      <c r="N205" s="10"/>
      <c r="O205" s="11"/>
      <c r="P205" s="218"/>
      <c r="Q205" s="218"/>
    </row>
    <row r="206" hidden="1" outlineLevel="1">
      <c r="A206" s="218"/>
      <c r="B206" s="218"/>
      <c r="C206" s="12"/>
      <c r="O206" s="13"/>
      <c r="P206" s="218"/>
      <c r="Q206" s="218"/>
    </row>
    <row r="207" hidden="1" outlineLevel="1">
      <c r="A207" s="218"/>
      <c r="B207" s="218"/>
      <c r="C207" s="12"/>
      <c r="O207" s="13"/>
      <c r="P207" s="218"/>
      <c r="Q207" s="218"/>
    </row>
    <row r="208" hidden="1" outlineLevel="1">
      <c r="A208" s="218"/>
      <c r="B208" s="218"/>
      <c r="C208" s="12"/>
      <c r="O208" s="13"/>
      <c r="P208" s="218"/>
      <c r="Q208" s="218"/>
    </row>
    <row r="209" hidden="1" outlineLevel="1">
      <c r="A209" s="218"/>
      <c r="B209" s="218"/>
      <c r="C209" s="12"/>
      <c r="O209" s="13"/>
      <c r="P209" s="218"/>
      <c r="Q209" s="218"/>
    </row>
    <row r="210" hidden="1" outlineLevel="1">
      <c r="A210" s="218"/>
      <c r="B210" s="218"/>
      <c r="C210" s="12"/>
      <c r="O210" s="13"/>
      <c r="P210" s="218"/>
      <c r="Q210" s="218"/>
    </row>
    <row r="211" hidden="1" outlineLevel="1">
      <c r="A211" s="218"/>
      <c r="B211" s="218"/>
      <c r="C211" s="12"/>
      <c r="O211" s="13"/>
      <c r="P211" s="218"/>
      <c r="Q211" s="218"/>
    </row>
    <row r="212" hidden="1" outlineLevel="1">
      <c r="A212" s="218"/>
      <c r="B212" s="218"/>
      <c r="C212" s="12"/>
      <c r="O212" s="13"/>
      <c r="P212" s="218"/>
      <c r="Q212" s="218"/>
    </row>
    <row r="213" hidden="1" outlineLevel="1">
      <c r="A213" s="218"/>
      <c r="B213" s="218"/>
      <c r="C213" s="12"/>
      <c r="O213" s="13"/>
      <c r="P213" s="218"/>
      <c r="Q213" s="218"/>
    </row>
    <row r="214" hidden="1" outlineLevel="1">
      <c r="A214" s="218"/>
      <c r="B214" s="218"/>
      <c r="C214" s="12"/>
      <c r="O214" s="13"/>
      <c r="P214" s="218"/>
      <c r="Q214" s="218"/>
    </row>
    <row r="215" hidden="1" outlineLevel="1">
      <c r="A215" s="218"/>
      <c r="B215" s="218"/>
      <c r="C215" s="12"/>
      <c r="O215" s="13"/>
      <c r="P215" s="218"/>
      <c r="Q215" s="218"/>
    </row>
    <row r="216" hidden="1" outlineLevel="1">
      <c r="A216" s="218"/>
      <c r="B216" s="218"/>
      <c r="C216" s="12"/>
      <c r="O216" s="13"/>
      <c r="P216" s="218"/>
      <c r="Q216" s="218"/>
    </row>
    <row r="217" hidden="1" outlineLevel="1">
      <c r="A217" s="218"/>
      <c r="B217" s="218"/>
      <c r="C217" s="12"/>
      <c r="O217" s="13"/>
      <c r="P217" s="218"/>
      <c r="Q217" s="218"/>
    </row>
    <row r="218" hidden="1" outlineLevel="1">
      <c r="A218" s="218"/>
      <c r="B218" s="218"/>
      <c r="C218" s="12"/>
      <c r="O218" s="13"/>
      <c r="P218" s="218"/>
      <c r="Q218" s="218"/>
    </row>
    <row r="219" hidden="1" outlineLevel="1">
      <c r="A219" s="218"/>
      <c r="B219" s="218"/>
      <c r="C219" s="12"/>
      <c r="O219" s="13"/>
      <c r="P219" s="218"/>
      <c r="Q219" s="218"/>
    </row>
    <row r="220" hidden="1" outlineLevel="1">
      <c r="A220" s="218"/>
      <c r="B220" s="218"/>
      <c r="C220" s="14"/>
      <c r="D220" s="15"/>
      <c r="E220" s="15"/>
      <c r="F220" s="15"/>
      <c r="G220" s="15"/>
      <c r="H220" s="15"/>
      <c r="I220" s="15"/>
      <c r="J220" s="15"/>
      <c r="K220" s="15"/>
      <c r="L220" s="15"/>
      <c r="M220" s="15"/>
      <c r="N220" s="15"/>
      <c r="O220" s="16"/>
      <c r="P220" s="218"/>
      <c r="Q220" s="218"/>
    </row>
    <row r="221">
      <c r="A221" s="218"/>
      <c r="B221" s="218"/>
      <c r="C221" s="218"/>
      <c r="D221" s="218"/>
      <c r="E221" s="218"/>
      <c r="F221" s="218"/>
      <c r="G221" s="218"/>
      <c r="H221" s="218"/>
      <c r="I221" s="218"/>
      <c r="J221" s="218"/>
      <c r="K221" s="218"/>
      <c r="L221" s="218"/>
      <c r="M221" s="218"/>
      <c r="N221" s="218"/>
      <c r="O221" s="218"/>
      <c r="P221" s="218"/>
      <c r="Q221" s="218"/>
    </row>
    <row r="222" collapsed="1">
      <c r="A222" s="564" t="s">
        <v>569</v>
      </c>
      <c r="B222" s="565" t="str">
        <f>IF(ISBLANK(C222), "", IF(B222="", NOW(), IF(C222&lt;&gt;C222, NOW(), B222)))</f>
        <v/>
      </c>
      <c r="C222" s="566"/>
      <c r="D222" s="10"/>
      <c r="E222" s="10"/>
      <c r="F222" s="10"/>
      <c r="G222" s="10"/>
      <c r="H222" s="10"/>
      <c r="I222" s="10"/>
      <c r="J222" s="10"/>
      <c r="K222" s="10"/>
      <c r="L222" s="10"/>
      <c r="M222" s="10"/>
      <c r="N222" s="10"/>
      <c r="O222" s="11"/>
      <c r="P222" s="218"/>
      <c r="Q222" s="218"/>
    </row>
    <row r="223" hidden="1" outlineLevel="1">
      <c r="A223" s="218"/>
      <c r="B223" s="218"/>
      <c r="C223" s="12"/>
      <c r="O223" s="13"/>
      <c r="P223" s="218"/>
      <c r="Q223" s="218"/>
    </row>
    <row r="224" hidden="1" outlineLevel="1">
      <c r="A224" s="218"/>
      <c r="B224" s="218"/>
      <c r="C224" s="12"/>
      <c r="O224" s="13"/>
      <c r="P224" s="218"/>
      <c r="Q224" s="218"/>
    </row>
    <row r="225" hidden="1" outlineLevel="1">
      <c r="A225" s="218"/>
      <c r="B225" s="218"/>
      <c r="C225" s="12"/>
      <c r="O225" s="13"/>
      <c r="P225" s="218"/>
      <c r="Q225" s="218"/>
    </row>
    <row r="226" hidden="1" outlineLevel="1">
      <c r="A226" s="218"/>
      <c r="B226" s="218"/>
      <c r="C226" s="12"/>
      <c r="O226" s="13"/>
      <c r="P226" s="218"/>
      <c r="Q226" s="218"/>
    </row>
    <row r="227" hidden="1" outlineLevel="1">
      <c r="A227" s="218"/>
      <c r="B227" s="218"/>
      <c r="C227" s="12"/>
      <c r="O227" s="13"/>
      <c r="P227" s="218"/>
      <c r="Q227" s="218"/>
    </row>
    <row r="228" hidden="1" outlineLevel="1">
      <c r="A228" s="218"/>
      <c r="B228" s="218"/>
      <c r="C228" s="12"/>
      <c r="O228" s="13"/>
      <c r="P228" s="218"/>
      <c r="Q228" s="218"/>
    </row>
    <row r="229" hidden="1" outlineLevel="1">
      <c r="A229" s="218"/>
      <c r="B229" s="218"/>
      <c r="C229" s="12"/>
      <c r="O229" s="13"/>
      <c r="P229" s="218"/>
      <c r="Q229" s="218"/>
    </row>
    <row r="230" hidden="1" outlineLevel="1">
      <c r="A230" s="218"/>
      <c r="B230" s="218"/>
      <c r="C230" s="12"/>
      <c r="O230" s="13"/>
      <c r="P230" s="218"/>
      <c r="Q230" s="218"/>
    </row>
    <row r="231" hidden="1" outlineLevel="1">
      <c r="A231" s="218"/>
      <c r="B231" s="218"/>
      <c r="C231" s="12"/>
      <c r="O231" s="13"/>
      <c r="P231" s="218"/>
      <c r="Q231" s="218"/>
    </row>
    <row r="232" hidden="1" outlineLevel="1">
      <c r="A232" s="218"/>
      <c r="B232" s="218"/>
      <c r="C232" s="12"/>
      <c r="O232" s="13"/>
      <c r="P232" s="218"/>
      <c r="Q232" s="218"/>
    </row>
    <row r="233" hidden="1" outlineLevel="1">
      <c r="A233" s="218"/>
      <c r="B233" s="218"/>
      <c r="C233" s="12"/>
      <c r="O233" s="13"/>
      <c r="P233" s="218"/>
      <c r="Q233" s="218"/>
    </row>
    <row r="234" hidden="1" outlineLevel="1">
      <c r="A234" s="218"/>
      <c r="B234" s="218"/>
      <c r="C234" s="12"/>
      <c r="O234" s="13"/>
      <c r="P234" s="218"/>
      <c r="Q234" s="218"/>
    </row>
    <row r="235" hidden="1" outlineLevel="1">
      <c r="A235" s="218"/>
      <c r="B235" s="218"/>
      <c r="C235" s="12"/>
      <c r="O235" s="13"/>
      <c r="P235" s="218"/>
      <c r="Q235" s="218"/>
    </row>
    <row r="236" hidden="1" outlineLevel="1">
      <c r="A236" s="218"/>
      <c r="B236" s="218"/>
      <c r="C236" s="12"/>
      <c r="O236" s="13"/>
      <c r="P236" s="218"/>
      <c r="Q236" s="218"/>
    </row>
    <row r="237" hidden="1" outlineLevel="1">
      <c r="A237" s="218"/>
      <c r="B237" s="218"/>
      <c r="C237" s="14"/>
      <c r="D237" s="15"/>
      <c r="E237" s="15"/>
      <c r="F237" s="15"/>
      <c r="G237" s="15"/>
      <c r="H237" s="15"/>
      <c r="I237" s="15"/>
      <c r="J237" s="15"/>
      <c r="K237" s="15"/>
      <c r="L237" s="15"/>
      <c r="M237" s="15"/>
      <c r="N237" s="15"/>
      <c r="O237" s="16"/>
      <c r="P237" s="218"/>
      <c r="Q237" s="218"/>
    </row>
    <row r="238">
      <c r="A238" s="218"/>
      <c r="B238" s="218"/>
      <c r="C238" s="218"/>
      <c r="D238" s="218"/>
      <c r="E238" s="218"/>
      <c r="F238" s="218"/>
      <c r="G238" s="218"/>
      <c r="H238" s="218"/>
      <c r="I238" s="218"/>
      <c r="J238" s="218"/>
      <c r="K238" s="218"/>
      <c r="L238" s="218"/>
      <c r="M238" s="218"/>
      <c r="N238" s="218"/>
      <c r="O238" s="218"/>
      <c r="P238" s="218"/>
      <c r="Q238" s="218"/>
    </row>
    <row r="239">
      <c r="A239" s="218"/>
      <c r="B239" s="218"/>
      <c r="C239" s="218"/>
      <c r="D239" s="218"/>
      <c r="E239" s="218"/>
      <c r="F239" s="218"/>
      <c r="G239" s="218"/>
      <c r="H239" s="218"/>
      <c r="I239" s="218"/>
      <c r="J239" s="218"/>
      <c r="K239" s="218"/>
      <c r="L239" s="218"/>
      <c r="M239" s="218"/>
      <c r="N239" s="218"/>
      <c r="O239" s="218"/>
      <c r="P239" s="218"/>
      <c r="Q239" s="218"/>
    </row>
    <row r="240">
      <c r="A240" s="218"/>
      <c r="B240" s="218"/>
      <c r="C240" s="218"/>
      <c r="D240" s="218"/>
      <c r="E240" s="218"/>
      <c r="F240" s="218"/>
      <c r="G240" s="218"/>
      <c r="H240" s="218"/>
      <c r="I240" s="218"/>
      <c r="J240" s="218"/>
      <c r="K240" s="218"/>
      <c r="L240" s="218"/>
      <c r="M240" s="218"/>
      <c r="N240" s="218"/>
      <c r="O240" s="218"/>
      <c r="P240" s="218"/>
      <c r="Q240" s="218"/>
    </row>
    <row r="241">
      <c r="A241" s="218"/>
      <c r="B241" s="218"/>
      <c r="C241" s="218"/>
      <c r="D241" s="218"/>
      <c r="E241" s="218"/>
      <c r="F241" s="218"/>
      <c r="G241" s="218"/>
      <c r="H241" s="218"/>
      <c r="I241" s="218"/>
      <c r="J241" s="218"/>
      <c r="K241" s="218"/>
      <c r="L241" s="218"/>
      <c r="M241" s="218"/>
      <c r="N241" s="218"/>
      <c r="O241" s="218"/>
      <c r="P241" s="218"/>
      <c r="Q241" s="218"/>
    </row>
    <row r="242">
      <c r="A242" s="218"/>
      <c r="B242" s="218"/>
      <c r="C242" s="218"/>
      <c r="D242" s="218"/>
      <c r="E242" s="218"/>
      <c r="F242" s="218"/>
      <c r="G242" s="218"/>
      <c r="H242" s="218"/>
      <c r="I242" s="218"/>
      <c r="J242" s="218"/>
      <c r="K242" s="218"/>
      <c r="L242" s="218"/>
      <c r="M242" s="218"/>
      <c r="N242" s="218"/>
      <c r="O242" s="218"/>
      <c r="P242" s="218"/>
      <c r="Q242" s="218"/>
    </row>
    <row r="243">
      <c r="A243" s="218"/>
      <c r="B243" s="218"/>
      <c r="C243" s="218"/>
      <c r="D243" s="218"/>
      <c r="E243" s="218"/>
      <c r="F243" s="218"/>
      <c r="G243" s="218"/>
      <c r="H243" s="218"/>
      <c r="I243" s="218"/>
      <c r="J243" s="218"/>
      <c r="K243" s="218"/>
      <c r="L243" s="218"/>
      <c r="M243" s="218"/>
      <c r="N243" s="218"/>
      <c r="O243" s="218"/>
      <c r="P243" s="218"/>
      <c r="Q243" s="218"/>
    </row>
    <row r="244">
      <c r="A244" s="218"/>
      <c r="B244" s="218"/>
      <c r="C244" s="218"/>
      <c r="D244" s="218"/>
      <c r="E244" s="218"/>
      <c r="F244" s="218"/>
      <c r="G244" s="218"/>
      <c r="H244" s="218"/>
      <c r="I244" s="218"/>
      <c r="J244" s="218"/>
      <c r="K244" s="218"/>
      <c r="L244" s="218"/>
      <c r="M244" s="218"/>
      <c r="N244" s="218"/>
      <c r="O244" s="218"/>
      <c r="P244" s="218"/>
      <c r="Q244" s="218"/>
    </row>
    <row r="245">
      <c r="A245" s="218"/>
      <c r="B245" s="218"/>
      <c r="C245" s="218"/>
      <c r="D245" s="218"/>
      <c r="E245" s="218"/>
      <c r="F245" s="218"/>
      <c r="G245" s="218"/>
      <c r="H245" s="218"/>
      <c r="I245" s="218"/>
      <c r="J245" s="218"/>
      <c r="K245" s="218"/>
      <c r="L245" s="218"/>
      <c r="M245" s="218"/>
      <c r="N245" s="218"/>
      <c r="O245" s="218"/>
      <c r="P245" s="218"/>
      <c r="Q245" s="218"/>
    </row>
    <row r="246">
      <c r="A246" s="218"/>
      <c r="B246" s="218"/>
      <c r="C246" s="218"/>
      <c r="D246" s="218"/>
      <c r="E246" s="218"/>
      <c r="F246" s="218"/>
      <c r="G246" s="218"/>
      <c r="H246" s="218"/>
      <c r="I246" s="218"/>
      <c r="J246" s="218"/>
      <c r="K246" s="218"/>
      <c r="L246" s="218"/>
      <c r="M246" s="218"/>
      <c r="N246" s="218"/>
      <c r="O246" s="218"/>
      <c r="P246" s="218"/>
      <c r="Q246" s="218"/>
    </row>
    <row r="247">
      <c r="A247" s="218"/>
      <c r="B247" s="218"/>
      <c r="C247" s="218"/>
      <c r="D247" s="218"/>
      <c r="E247" s="218"/>
      <c r="F247" s="218"/>
      <c r="G247" s="218"/>
      <c r="H247" s="218"/>
      <c r="I247" s="218"/>
      <c r="J247" s="218"/>
      <c r="K247" s="218"/>
      <c r="L247" s="218"/>
      <c r="M247" s="218"/>
      <c r="N247" s="218"/>
      <c r="O247" s="218"/>
      <c r="P247" s="218"/>
      <c r="Q247" s="218"/>
    </row>
    <row r="248">
      <c r="A248" s="218"/>
      <c r="B248" s="218"/>
      <c r="C248" s="218"/>
      <c r="D248" s="218"/>
      <c r="E248" s="218"/>
      <c r="F248" s="218"/>
      <c r="G248" s="218"/>
      <c r="H248" s="218"/>
      <c r="I248" s="218"/>
      <c r="J248" s="218"/>
      <c r="K248" s="218"/>
      <c r="L248" s="218"/>
      <c r="M248" s="218"/>
      <c r="N248" s="218"/>
      <c r="O248" s="218"/>
      <c r="P248" s="218"/>
      <c r="Q248" s="218"/>
    </row>
    <row r="249">
      <c r="A249" s="218"/>
      <c r="B249" s="218"/>
      <c r="C249" s="218"/>
      <c r="D249" s="218"/>
      <c r="E249" s="218"/>
      <c r="F249" s="218"/>
      <c r="G249" s="218"/>
      <c r="H249" s="218"/>
      <c r="I249" s="218"/>
      <c r="J249" s="218"/>
      <c r="K249" s="218"/>
      <c r="L249" s="218"/>
      <c r="M249" s="218"/>
      <c r="N249" s="218"/>
      <c r="O249" s="218"/>
      <c r="P249" s="218"/>
      <c r="Q249" s="218"/>
    </row>
    <row r="250">
      <c r="A250" s="218"/>
      <c r="B250" s="218"/>
      <c r="C250" s="218"/>
      <c r="D250" s="218"/>
      <c r="E250" s="218"/>
      <c r="F250" s="218"/>
      <c r="G250" s="218"/>
      <c r="H250" s="218"/>
      <c r="I250" s="218"/>
      <c r="J250" s="218"/>
      <c r="K250" s="218"/>
      <c r="L250" s="218"/>
      <c r="M250" s="218"/>
      <c r="N250" s="218"/>
      <c r="O250" s="218"/>
      <c r="P250" s="218"/>
      <c r="Q250" s="218"/>
    </row>
    <row r="251">
      <c r="A251" s="218"/>
      <c r="B251" s="218"/>
      <c r="C251" s="218"/>
      <c r="D251" s="218"/>
      <c r="E251" s="218"/>
      <c r="F251" s="218"/>
      <c r="G251" s="218"/>
      <c r="H251" s="218"/>
      <c r="I251" s="218"/>
      <c r="J251" s="218"/>
      <c r="K251" s="218"/>
      <c r="L251" s="218"/>
      <c r="M251" s="218"/>
      <c r="N251" s="218"/>
      <c r="O251" s="218"/>
      <c r="P251" s="218"/>
      <c r="Q251" s="218"/>
    </row>
    <row r="252">
      <c r="A252" s="218"/>
      <c r="B252" s="218"/>
      <c r="C252" s="218"/>
      <c r="D252" s="218"/>
      <c r="E252" s="218"/>
      <c r="F252" s="218"/>
      <c r="G252" s="218"/>
      <c r="H252" s="218"/>
      <c r="I252" s="218"/>
      <c r="J252" s="218"/>
      <c r="K252" s="218"/>
      <c r="L252" s="218"/>
      <c r="M252" s="218"/>
      <c r="N252" s="218"/>
      <c r="O252" s="218"/>
      <c r="P252" s="218"/>
      <c r="Q252" s="218"/>
    </row>
    <row r="253">
      <c r="A253" s="218"/>
      <c r="B253" s="218"/>
      <c r="C253" s="218"/>
      <c r="D253" s="218"/>
      <c r="E253" s="218"/>
      <c r="F253" s="218"/>
      <c r="G253" s="218"/>
      <c r="H253" s="218"/>
      <c r="I253" s="218"/>
      <c r="J253" s="218"/>
      <c r="K253" s="218"/>
      <c r="L253" s="218"/>
      <c r="M253" s="218"/>
      <c r="N253" s="218"/>
      <c r="O253" s="218"/>
      <c r="P253" s="218"/>
      <c r="Q253" s="218"/>
    </row>
    <row r="254">
      <c r="A254" s="218"/>
      <c r="B254" s="218"/>
      <c r="C254" s="218"/>
      <c r="D254" s="218"/>
      <c r="E254" s="218"/>
      <c r="F254" s="218"/>
      <c r="G254" s="218"/>
      <c r="H254" s="218"/>
      <c r="I254" s="218"/>
      <c r="J254" s="218"/>
      <c r="K254" s="218"/>
      <c r="L254" s="218"/>
      <c r="M254" s="218"/>
      <c r="N254" s="218"/>
      <c r="O254" s="218"/>
      <c r="P254" s="218"/>
      <c r="Q254" s="218"/>
    </row>
    <row r="255">
      <c r="A255" s="218"/>
      <c r="B255" s="218"/>
      <c r="C255" s="218"/>
      <c r="D255" s="218"/>
      <c r="E255" s="218"/>
      <c r="F255" s="218"/>
      <c r="G255" s="218"/>
      <c r="H255" s="218"/>
      <c r="I255" s="218"/>
      <c r="J255" s="218"/>
      <c r="K255" s="218"/>
      <c r="L255" s="218"/>
      <c r="M255" s="218"/>
      <c r="N255" s="218"/>
      <c r="O255" s="218"/>
      <c r="P255" s="218"/>
      <c r="Q255" s="218"/>
    </row>
    <row r="256">
      <c r="A256" s="218"/>
      <c r="B256" s="218"/>
      <c r="C256" s="218"/>
      <c r="D256" s="218"/>
      <c r="E256" s="218"/>
      <c r="F256" s="218"/>
      <c r="G256" s="218"/>
      <c r="H256" s="218"/>
      <c r="I256" s="218"/>
      <c r="J256" s="218"/>
      <c r="K256" s="218"/>
      <c r="L256" s="218"/>
      <c r="M256" s="218"/>
      <c r="N256" s="218"/>
      <c r="O256" s="218"/>
      <c r="P256" s="218"/>
      <c r="Q256" s="218"/>
    </row>
    <row r="257">
      <c r="A257" s="218"/>
      <c r="B257" s="218"/>
      <c r="C257" s="218"/>
      <c r="D257" s="218"/>
      <c r="E257" s="218"/>
      <c r="F257" s="218"/>
      <c r="G257" s="218"/>
      <c r="H257" s="218"/>
      <c r="I257" s="218"/>
      <c r="J257" s="218"/>
      <c r="K257" s="218"/>
      <c r="L257" s="218"/>
      <c r="M257" s="218"/>
      <c r="N257" s="218"/>
      <c r="O257" s="218"/>
      <c r="P257" s="218"/>
      <c r="Q257" s="218"/>
    </row>
    <row r="258">
      <c r="A258" s="218"/>
      <c r="B258" s="218"/>
      <c r="C258" s="218"/>
      <c r="D258" s="218"/>
      <c r="E258" s="218"/>
      <c r="F258" s="218"/>
      <c r="G258" s="218"/>
      <c r="H258" s="218"/>
      <c r="I258" s="218"/>
      <c r="J258" s="218"/>
      <c r="K258" s="218"/>
      <c r="L258" s="218"/>
      <c r="M258" s="218"/>
      <c r="N258" s="218"/>
      <c r="O258" s="218"/>
      <c r="P258" s="218"/>
      <c r="Q258" s="218"/>
    </row>
    <row r="259">
      <c r="A259" s="218"/>
      <c r="B259" s="218"/>
      <c r="C259" s="218"/>
      <c r="D259" s="218"/>
      <c r="E259" s="218"/>
      <c r="F259" s="218"/>
      <c r="G259" s="218"/>
      <c r="H259" s="218"/>
      <c r="I259" s="218"/>
      <c r="J259" s="218"/>
      <c r="K259" s="218"/>
      <c r="L259" s="218"/>
      <c r="M259" s="218"/>
      <c r="N259" s="218"/>
      <c r="O259" s="218"/>
      <c r="P259" s="218"/>
      <c r="Q259" s="218"/>
    </row>
    <row r="260">
      <c r="A260" s="218"/>
      <c r="B260" s="218"/>
      <c r="C260" s="218"/>
      <c r="D260" s="218"/>
      <c r="E260" s="218"/>
      <c r="F260" s="218"/>
      <c r="G260" s="218"/>
      <c r="H260" s="218"/>
      <c r="I260" s="218"/>
      <c r="J260" s="218"/>
      <c r="K260" s="218"/>
      <c r="L260" s="218"/>
      <c r="M260" s="218"/>
      <c r="N260" s="218"/>
      <c r="O260" s="218"/>
      <c r="P260" s="218"/>
      <c r="Q260" s="218"/>
    </row>
    <row r="261">
      <c r="A261" s="218"/>
      <c r="B261" s="218"/>
      <c r="C261" s="218"/>
      <c r="D261" s="218"/>
      <c r="E261" s="218"/>
      <c r="F261" s="218"/>
      <c r="G261" s="218"/>
      <c r="H261" s="218"/>
      <c r="I261" s="218"/>
      <c r="J261" s="218"/>
      <c r="K261" s="218"/>
      <c r="L261" s="218"/>
      <c r="M261" s="218"/>
      <c r="N261" s="218"/>
      <c r="O261" s="218"/>
      <c r="P261" s="218"/>
      <c r="Q261" s="218"/>
    </row>
    <row r="262">
      <c r="A262" s="218"/>
      <c r="B262" s="218"/>
      <c r="C262" s="218"/>
      <c r="D262" s="218"/>
      <c r="E262" s="218"/>
      <c r="F262" s="218"/>
      <c r="G262" s="218"/>
      <c r="H262" s="218"/>
      <c r="I262" s="218"/>
      <c r="J262" s="218"/>
      <c r="K262" s="218"/>
      <c r="L262" s="218"/>
      <c r="M262" s="218"/>
      <c r="N262" s="218"/>
      <c r="O262" s="218"/>
      <c r="P262" s="218"/>
      <c r="Q262" s="218"/>
    </row>
    <row r="263">
      <c r="A263" s="218"/>
      <c r="B263" s="218"/>
      <c r="C263" s="218"/>
      <c r="D263" s="218"/>
      <c r="E263" s="218"/>
      <c r="F263" s="218"/>
      <c r="G263" s="218"/>
      <c r="H263" s="218"/>
      <c r="I263" s="218"/>
      <c r="J263" s="218"/>
      <c r="K263" s="218"/>
      <c r="L263" s="218"/>
      <c r="M263" s="218"/>
      <c r="N263" s="218"/>
      <c r="O263" s="218"/>
      <c r="P263" s="218"/>
      <c r="Q263" s="218"/>
    </row>
    <row r="264">
      <c r="A264" s="218"/>
      <c r="B264" s="218"/>
      <c r="C264" s="218"/>
      <c r="D264" s="218"/>
      <c r="E264" s="218"/>
      <c r="F264" s="218"/>
      <c r="G264" s="218"/>
      <c r="H264" s="218"/>
      <c r="I264" s="218"/>
      <c r="J264" s="218"/>
      <c r="K264" s="218"/>
      <c r="L264" s="218"/>
      <c r="M264" s="218"/>
      <c r="N264" s="218"/>
      <c r="O264" s="218"/>
      <c r="P264" s="218"/>
      <c r="Q264" s="218"/>
    </row>
    <row r="265">
      <c r="A265" s="218"/>
      <c r="B265" s="218"/>
      <c r="C265" s="218"/>
      <c r="D265" s="218"/>
      <c r="E265" s="218"/>
      <c r="F265" s="218"/>
      <c r="G265" s="218"/>
      <c r="H265" s="218"/>
      <c r="I265" s="218"/>
      <c r="J265" s="218"/>
      <c r="K265" s="218"/>
      <c r="L265" s="218"/>
      <c r="M265" s="218"/>
      <c r="N265" s="218"/>
      <c r="O265" s="218"/>
      <c r="P265" s="218"/>
      <c r="Q265" s="218"/>
    </row>
    <row r="266">
      <c r="A266" s="218"/>
      <c r="B266" s="218"/>
      <c r="C266" s="218"/>
      <c r="D266" s="218"/>
      <c r="E266" s="218"/>
      <c r="F266" s="218"/>
      <c r="G266" s="218"/>
      <c r="H266" s="218"/>
      <c r="I266" s="218"/>
      <c r="J266" s="218"/>
      <c r="K266" s="218"/>
      <c r="L266" s="218"/>
      <c r="M266" s="218"/>
      <c r="N266" s="218"/>
      <c r="O266" s="218"/>
      <c r="P266" s="218"/>
      <c r="Q266" s="218"/>
    </row>
    <row r="267">
      <c r="A267" s="218"/>
      <c r="B267" s="218"/>
      <c r="C267" s="218"/>
      <c r="D267" s="218"/>
      <c r="E267" s="218"/>
      <c r="F267" s="218"/>
      <c r="G267" s="218"/>
      <c r="H267" s="218"/>
      <c r="I267" s="218"/>
      <c r="J267" s="218"/>
      <c r="K267" s="218"/>
      <c r="L267" s="218"/>
      <c r="M267" s="218"/>
      <c r="N267" s="218"/>
      <c r="O267" s="218"/>
      <c r="P267" s="218"/>
      <c r="Q267" s="218"/>
    </row>
    <row r="268">
      <c r="A268" s="218"/>
      <c r="B268" s="218"/>
      <c r="C268" s="218"/>
      <c r="D268" s="218"/>
      <c r="E268" s="218"/>
      <c r="F268" s="218"/>
      <c r="G268" s="218"/>
      <c r="H268" s="218"/>
      <c r="I268" s="218"/>
      <c r="J268" s="218"/>
      <c r="K268" s="218"/>
      <c r="L268" s="218"/>
      <c r="M268" s="218"/>
      <c r="N268" s="218"/>
      <c r="O268" s="218"/>
      <c r="P268" s="218"/>
      <c r="Q268" s="218"/>
    </row>
    <row r="269">
      <c r="A269" s="218"/>
      <c r="B269" s="218"/>
      <c r="C269" s="218"/>
      <c r="D269" s="218"/>
      <c r="E269" s="218"/>
      <c r="F269" s="218"/>
      <c r="G269" s="218"/>
      <c r="H269" s="218"/>
      <c r="I269" s="218"/>
      <c r="J269" s="218"/>
      <c r="K269" s="218"/>
      <c r="L269" s="218"/>
      <c r="M269" s="218"/>
      <c r="N269" s="218"/>
      <c r="O269" s="218"/>
      <c r="P269" s="218"/>
      <c r="Q269" s="218"/>
    </row>
    <row r="270">
      <c r="A270" s="218"/>
      <c r="B270" s="218"/>
      <c r="C270" s="218"/>
      <c r="D270" s="218"/>
      <c r="E270" s="218"/>
      <c r="F270" s="218"/>
      <c r="G270" s="218"/>
      <c r="H270" s="218"/>
      <c r="I270" s="218"/>
      <c r="J270" s="218"/>
      <c r="K270" s="218"/>
      <c r="L270" s="218"/>
      <c r="M270" s="218"/>
      <c r="N270" s="218"/>
      <c r="O270" s="218"/>
      <c r="P270" s="218"/>
      <c r="Q270" s="218"/>
    </row>
    <row r="271">
      <c r="A271" s="218"/>
      <c r="B271" s="218"/>
      <c r="C271" s="218"/>
      <c r="D271" s="218"/>
      <c r="E271" s="218"/>
      <c r="F271" s="218"/>
      <c r="G271" s="218"/>
      <c r="H271" s="218"/>
      <c r="I271" s="218"/>
      <c r="J271" s="218"/>
      <c r="K271" s="218"/>
      <c r="L271" s="218"/>
      <c r="M271" s="218"/>
      <c r="N271" s="218"/>
      <c r="O271" s="218"/>
      <c r="P271" s="218"/>
      <c r="Q271" s="218"/>
    </row>
    <row r="272">
      <c r="A272" s="218"/>
      <c r="B272" s="218"/>
      <c r="C272" s="218"/>
      <c r="D272" s="218"/>
      <c r="E272" s="218"/>
      <c r="F272" s="218"/>
      <c r="G272" s="218"/>
      <c r="H272" s="218"/>
      <c r="I272" s="218"/>
      <c r="J272" s="218"/>
      <c r="K272" s="218"/>
      <c r="L272" s="218"/>
      <c r="M272" s="218"/>
      <c r="N272" s="218"/>
      <c r="O272" s="218"/>
      <c r="P272" s="218"/>
      <c r="Q272" s="218"/>
    </row>
    <row r="273">
      <c r="A273" s="218"/>
      <c r="B273" s="218"/>
      <c r="C273" s="218"/>
      <c r="D273" s="218"/>
      <c r="E273" s="218"/>
      <c r="F273" s="218"/>
      <c r="G273" s="218"/>
      <c r="H273" s="218"/>
      <c r="I273" s="218"/>
      <c r="J273" s="218"/>
      <c r="K273" s="218"/>
      <c r="L273" s="218"/>
      <c r="M273" s="218"/>
      <c r="N273" s="218"/>
      <c r="O273" s="218"/>
      <c r="P273" s="218"/>
      <c r="Q273" s="218"/>
    </row>
    <row r="274">
      <c r="A274" s="218"/>
      <c r="B274" s="218"/>
      <c r="C274" s="218"/>
      <c r="D274" s="218"/>
      <c r="E274" s="218"/>
      <c r="F274" s="218"/>
      <c r="G274" s="218"/>
      <c r="H274" s="218"/>
      <c r="I274" s="218"/>
      <c r="J274" s="218"/>
      <c r="K274" s="218"/>
      <c r="L274" s="218"/>
      <c r="M274" s="218"/>
      <c r="N274" s="218"/>
      <c r="O274" s="218"/>
      <c r="P274" s="218"/>
      <c r="Q274" s="218"/>
    </row>
    <row r="275">
      <c r="A275" s="218"/>
      <c r="B275" s="218"/>
      <c r="C275" s="218"/>
      <c r="D275" s="218"/>
      <c r="E275" s="218"/>
      <c r="F275" s="218"/>
      <c r="G275" s="218"/>
      <c r="H275" s="218"/>
      <c r="I275" s="218"/>
      <c r="J275" s="218"/>
      <c r="K275" s="218"/>
      <c r="L275" s="218"/>
      <c r="M275" s="218"/>
      <c r="N275" s="218"/>
      <c r="O275" s="218"/>
      <c r="P275" s="218"/>
      <c r="Q275" s="218"/>
    </row>
    <row r="276">
      <c r="A276" s="218"/>
      <c r="B276" s="218"/>
      <c r="C276" s="218"/>
      <c r="D276" s="218"/>
      <c r="E276" s="218"/>
      <c r="F276" s="218"/>
      <c r="G276" s="218"/>
      <c r="H276" s="218"/>
      <c r="I276" s="218"/>
      <c r="J276" s="218"/>
      <c r="K276" s="218"/>
      <c r="L276" s="218"/>
      <c r="M276" s="218"/>
      <c r="N276" s="218"/>
      <c r="O276" s="218"/>
      <c r="P276" s="218"/>
      <c r="Q276" s="218"/>
    </row>
    <row r="277">
      <c r="A277" s="218"/>
      <c r="B277" s="218"/>
      <c r="C277" s="218"/>
      <c r="D277" s="218"/>
      <c r="E277" s="218"/>
      <c r="F277" s="218"/>
      <c r="G277" s="218"/>
      <c r="H277" s="218"/>
      <c r="I277" s="218"/>
      <c r="J277" s="218"/>
      <c r="K277" s="218"/>
      <c r="L277" s="218"/>
      <c r="M277" s="218"/>
      <c r="N277" s="218"/>
      <c r="O277" s="218"/>
      <c r="P277" s="218"/>
      <c r="Q277" s="218"/>
    </row>
    <row r="278">
      <c r="A278" s="218"/>
      <c r="B278" s="218"/>
      <c r="C278" s="218"/>
      <c r="D278" s="218"/>
      <c r="E278" s="218"/>
      <c r="F278" s="218"/>
      <c r="G278" s="218"/>
      <c r="H278" s="218"/>
      <c r="I278" s="218"/>
      <c r="J278" s="218"/>
      <c r="K278" s="218"/>
      <c r="L278" s="218"/>
      <c r="M278" s="218"/>
      <c r="N278" s="218"/>
      <c r="O278" s="218"/>
      <c r="P278" s="218"/>
      <c r="Q278" s="218"/>
    </row>
    <row r="279">
      <c r="A279" s="218"/>
      <c r="B279" s="218"/>
      <c r="C279" s="218"/>
      <c r="D279" s="218"/>
      <c r="E279" s="218"/>
      <c r="F279" s="218"/>
      <c r="G279" s="218"/>
      <c r="H279" s="218"/>
      <c r="I279" s="218"/>
      <c r="J279" s="218"/>
      <c r="K279" s="218"/>
      <c r="L279" s="218"/>
      <c r="M279" s="218"/>
      <c r="N279" s="218"/>
      <c r="O279" s="218"/>
      <c r="P279" s="218"/>
      <c r="Q279" s="218"/>
    </row>
    <row r="280">
      <c r="A280" s="218"/>
      <c r="B280" s="218"/>
      <c r="C280" s="218"/>
      <c r="D280" s="218"/>
      <c r="E280" s="218"/>
      <c r="F280" s="218"/>
      <c r="G280" s="218"/>
      <c r="H280" s="218"/>
      <c r="I280" s="218"/>
      <c r="J280" s="218"/>
      <c r="K280" s="218"/>
      <c r="L280" s="218"/>
      <c r="M280" s="218"/>
      <c r="N280" s="218"/>
      <c r="O280" s="218"/>
      <c r="P280" s="218"/>
      <c r="Q280" s="218"/>
    </row>
    <row r="281">
      <c r="A281" s="218"/>
      <c r="B281" s="218"/>
      <c r="C281" s="218"/>
      <c r="D281" s="218"/>
      <c r="E281" s="218"/>
      <c r="F281" s="218"/>
      <c r="G281" s="218"/>
      <c r="H281" s="218"/>
      <c r="I281" s="218"/>
      <c r="J281" s="218"/>
      <c r="K281" s="218"/>
      <c r="L281" s="218"/>
      <c r="M281" s="218"/>
      <c r="N281" s="218"/>
      <c r="O281" s="218"/>
      <c r="P281" s="218"/>
      <c r="Q281" s="218"/>
    </row>
    <row r="282">
      <c r="A282" s="218"/>
      <c r="B282" s="218"/>
      <c r="C282" s="218"/>
      <c r="D282" s="218"/>
      <c r="E282" s="218"/>
      <c r="F282" s="218"/>
      <c r="G282" s="218"/>
      <c r="H282" s="218"/>
      <c r="I282" s="218"/>
      <c r="J282" s="218"/>
      <c r="K282" s="218"/>
      <c r="L282" s="218"/>
      <c r="M282" s="218"/>
      <c r="N282" s="218"/>
      <c r="O282" s="218"/>
      <c r="P282" s="218"/>
      <c r="Q282" s="218"/>
    </row>
    <row r="283">
      <c r="A283" s="218"/>
      <c r="B283" s="218"/>
      <c r="C283" s="218"/>
      <c r="D283" s="218"/>
      <c r="E283" s="218"/>
      <c r="F283" s="218"/>
      <c r="G283" s="218"/>
      <c r="H283" s="218"/>
      <c r="I283" s="218"/>
      <c r="J283" s="218"/>
      <c r="K283" s="218"/>
      <c r="L283" s="218"/>
      <c r="M283" s="218"/>
      <c r="N283" s="218"/>
      <c r="O283" s="218"/>
      <c r="P283" s="218"/>
      <c r="Q283" s="218"/>
    </row>
    <row r="284">
      <c r="A284" s="218"/>
      <c r="B284" s="218"/>
      <c r="C284" s="218"/>
      <c r="D284" s="218"/>
      <c r="E284" s="218"/>
      <c r="F284" s="218"/>
      <c r="G284" s="218"/>
      <c r="H284" s="218"/>
      <c r="I284" s="218"/>
      <c r="J284" s="218"/>
      <c r="K284" s="218"/>
      <c r="L284" s="218"/>
      <c r="M284" s="218"/>
      <c r="N284" s="218"/>
      <c r="O284" s="218"/>
      <c r="P284" s="218"/>
      <c r="Q284" s="218"/>
    </row>
    <row r="285">
      <c r="A285" s="218"/>
      <c r="B285" s="218"/>
      <c r="C285" s="218"/>
      <c r="D285" s="218"/>
      <c r="E285" s="218"/>
      <c r="F285" s="218"/>
      <c r="G285" s="218"/>
      <c r="H285" s="218"/>
      <c r="I285" s="218"/>
      <c r="J285" s="218"/>
      <c r="K285" s="218"/>
      <c r="L285" s="218"/>
      <c r="M285" s="218"/>
      <c r="N285" s="218"/>
      <c r="O285" s="218"/>
      <c r="P285" s="218"/>
      <c r="Q285" s="218"/>
    </row>
    <row r="286">
      <c r="A286" s="218"/>
      <c r="B286" s="218"/>
      <c r="C286" s="218"/>
      <c r="D286" s="218"/>
      <c r="E286" s="218"/>
      <c r="F286" s="218"/>
      <c r="G286" s="218"/>
      <c r="H286" s="218"/>
      <c r="I286" s="218"/>
      <c r="J286" s="218"/>
      <c r="K286" s="218"/>
      <c r="L286" s="218"/>
      <c r="M286" s="218"/>
      <c r="N286" s="218"/>
      <c r="O286" s="218"/>
      <c r="P286" s="218"/>
      <c r="Q286" s="218"/>
    </row>
    <row r="287">
      <c r="A287" s="218"/>
      <c r="B287" s="218"/>
      <c r="C287" s="218"/>
      <c r="D287" s="218"/>
      <c r="E287" s="218"/>
      <c r="F287" s="218"/>
      <c r="G287" s="218"/>
      <c r="H287" s="218"/>
      <c r="I287" s="218"/>
      <c r="J287" s="218"/>
      <c r="K287" s="218"/>
      <c r="L287" s="218"/>
      <c r="M287" s="218"/>
      <c r="N287" s="218"/>
      <c r="O287" s="218"/>
      <c r="P287" s="218"/>
      <c r="Q287" s="218"/>
    </row>
    <row r="288">
      <c r="A288" s="218"/>
      <c r="B288" s="218"/>
      <c r="C288" s="218"/>
      <c r="D288" s="218"/>
      <c r="E288" s="218"/>
      <c r="F288" s="218"/>
      <c r="G288" s="218"/>
      <c r="H288" s="218"/>
      <c r="I288" s="218"/>
      <c r="J288" s="218"/>
      <c r="K288" s="218"/>
      <c r="L288" s="218"/>
      <c r="M288" s="218"/>
      <c r="N288" s="218"/>
      <c r="O288" s="218"/>
      <c r="P288" s="218"/>
      <c r="Q288" s="218"/>
    </row>
    <row r="289">
      <c r="A289" s="218"/>
      <c r="B289" s="218"/>
      <c r="C289" s="218"/>
      <c r="D289" s="218"/>
      <c r="E289" s="218"/>
      <c r="F289" s="218"/>
      <c r="G289" s="218"/>
      <c r="H289" s="218"/>
      <c r="I289" s="218"/>
      <c r="J289" s="218"/>
      <c r="K289" s="218"/>
      <c r="L289" s="218"/>
      <c r="M289" s="218"/>
      <c r="N289" s="218"/>
      <c r="O289" s="218"/>
      <c r="P289" s="218"/>
      <c r="Q289" s="218"/>
    </row>
    <row r="290">
      <c r="A290" s="218"/>
      <c r="B290" s="218"/>
      <c r="C290" s="218"/>
      <c r="D290" s="218"/>
      <c r="E290" s="218"/>
      <c r="F290" s="218"/>
      <c r="G290" s="218"/>
      <c r="H290" s="218"/>
      <c r="I290" s="218"/>
      <c r="J290" s="218"/>
      <c r="K290" s="218"/>
      <c r="L290" s="218"/>
      <c r="M290" s="218"/>
      <c r="N290" s="218"/>
      <c r="O290" s="218"/>
      <c r="P290" s="218"/>
      <c r="Q290" s="218"/>
    </row>
    <row r="291">
      <c r="A291" s="218"/>
      <c r="B291" s="218"/>
      <c r="C291" s="218"/>
      <c r="D291" s="218"/>
      <c r="E291" s="218"/>
      <c r="F291" s="218"/>
      <c r="G291" s="218"/>
      <c r="H291" s="218"/>
      <c r="I291" s="218"/>
      <c r="J291" s="218"/>
      <c r="K291" s="218"/>
      <c r="L291" s="218"/>
      <c r="M291" s="218"/>
      <c r="N291" s="218"/>
      <c r="O291" s="218"/>
      <c r="P291" s="218"/>
      <c r="Q291" s="218"/>
    </row>
    <row r="292">
      <c r="A292" s="218"/>
      <c r="B292" s="218"/>
      <c r="C292" s="218"/>
      <c r="D292" s="218"/>
      <c r="E292" s="218"/>
      <c r="F292" s="218"/>
      <c r="G292" s="218"/>
      <c r="H292" s="218"/>
      <c r="I292" s="218"/>
      <c r="J292" s="218"/>
      <c r="K292" s="218"/>
      <c r="L292" s="218"/>
      <c r="M292" s="218"/>
      <c r="N292" s="218"/>
      <c r="O292" s="218"/>
      <c r="P292" s="218"/>
      <c r="Q292" s="218"/>
    </row>
    <row r="293">
      <c r="A293" s="218"/>
      <c r="B293" s="218"/>
      <c r="C293" s="218"/>
      <c r="D293" s="218"/>
      <c r="E293" s="218"/>
      <c r="F293" s="218"/>
      <c r="G293" s="218"/>
      <c r="H293" s="218"/>
      <c r="I293" s="218"/>
      <c r="J293" s="218"/>
      <c r="K293" s="218"/>
      <c r="L293" s="218"/>
      <c r="M293" s="218"/>
      <c r="N293" s="218"/>
      <c r="O293" s="218"/>
      <c r="P293" s="218"/>
      <c r="Q293" s="218"/>
    </row>
    <row r="294">
      <c r="A294" s="218"/>
      <c r="B294" s="218"/>
      <c r="C294" s="218"/>
      <c r="D294" s="218"/>
      <c r="E294" s="218"/>
      <c r="F294" s="218"/>
      <c r="G294" s="218"/>
      <c r="H294" s="218"/>
      <c r="I294" s="218"/>
      <c r="J294" s="218"/>
      <c r="K294" s="218"/>
      <c r="L294" s="218"/>
      <c r="M294" s="218"/>
      <c r="N294" s="218"/>
      <c r="O294" s="218"/>
      <c r="P294" s="218"/>
      <c r="Q294" s="218"/>
    </row>
    <row r="295">
      <c r="A295" s="218"/>
      <c r="B295" s="218"/>
      <c r="C295" s="218"/>
      <c r="D295" s="218"/>
      <c r="E295" s="218"/>
      <c r="F295" s="218"/>
      <c r="G295" s="218"/>
      <c r="H295" s="218"/>
      <c r="I295" s="218"/>
      <c r="J295" s="218"/>
      <c r="K295" s="218"/>
      <c r="L295" s="218"/>
      <c r="M295" s="218"/>
      <c r="N295" s="218"/>
      <c r="O295" s="218"/>
      <c r="P295" s="218"/>
      <c r="Q295" s="218"/>
    </row>
    <row r="296">
      <c r="A296" s="218"/>
      <c r="B296" s="218"/>
      <c r="C296" s="218"/>
      <c r="D296" s="218"/>
      <c r="E296" s="218"/>
      <c r="F296" s="218"/>
      <c r="G296" s="218"/>
      <c r="H296" s="218"/>
      <c r="I296" s="218"/>
      <c r="J296" s="218"/>
      <c r="K296" s="218"/>
      <c r="L296" s="218"/>
      <c r="M296" s="218"/>
      <c r="N296" s="218"/>
      <c r="O296" s="218"/>
      <c r="P296" s="218"/>
      <c r="Q296" s="218"/>
    </row>
    <row r="297">
      <c r="A297" s="218"/>
      <c r="B297" s="218"/>
      <c r="C297" s="218"/>
      <c r="D297" s="218"/>
      <c r="E297" s="218"/>
      <c r="F297" s="218"/>
      <c r="G297" s="218"/>
      <c r="H297" s="218"/>
      <c r="I297" s="218"/>
      <c r="J297" s="218"/>
      <c r="K297" s="218"/>
      <c r="L297" s="218"/>
      <c r="M297" s="218"/>
      <c r="N297" s="218"/>
      <c r="O297" s="218"/>
      <c r="P297" s="218"/>
      <c r="Q297" s="218"/>
    </row>
    <row r="298">
      <c r="A298" s="218"/>
      <c r="B298" s="218"/>
      <c r="C298" s="218"/>
      <c r="D298" s="218"/>
      <c r="E298" s="218"/>
      <c r="F298" s="218"/>
      <c r="G298" s="218"/>
      <c r="H298" s="218"/>
      <c r="I298" s="218"/>
      <c r="J298" s="218"/>
      <c r="K298" s="218"/>
      <c r="L298" s="218"/>
      <c r="M298" s="218"/>
      <c r="N298" s="218"/>
      <c r="O298" s="218"/>
      <c r="P298" s="218"/>
      <c r="Q298" s="218"/>
    </row>
    <row r="299">
      <c r="A299" s="218"/>
      <c r="B299" s="218"/>
      <c r="C299" s="218"/>
      <c r="D299" s="218"/>
      <c r="E299" s="218"/>
      <c r="F299" s="218"/>
      <c r="G299" s="218"/>
      <c r="H299" s="218"/>
      <c r="I299" s="218"/>
      <c r="J299" s="218"/>
      <c r="K299" s="218"/>
      <c r="L299" s="218"/>
      <c r="M299" s="218"/>
      <c r="N299" s="218"/>
      <c r="O299" s="218"/>
      <c r="P299" s="218"/>
      <c r="Q299" s="218"/>
    </row>
    <row r="300">
      <c r="A300" s="218"/>
      <c r="B300" s="218"/>
      <c r="C300" s="218"/>
      <c r="D300" s="218"/>
      <c r="E300" s="218"/>
      <c r="F300" s="218"/>
      <c r="G300" s="218"/>
      <c r="H300" s="218"/>
      <c r="I300" s="218"/>
      <c r="J300" s="218"/>
      <c r="K300" s="218"/>
      <c r="L300" s="218"/>
      <c r="M300" s="218"/>
      <c r="N300" s="218"/>
      <c r="O300" s="218"/>
      <c r="P300" s="218"/>
      <c r="Q300" s="218"/>
    </row>
    <row r="301">
      <c r="A301" s="218"/>
      <c r="B301" s="218"/>
      <c r="C301" s="218"/>
      <c r="D301" s="218"/>
      <c r="E301" s="218"/>
      <c r="F301" s="218"/>
      <c r="G301" s="218"/>
      <c r="H301" s="218"/>
      <c r="I301" s="218"/>
      <c r="J301" s="218"/>
      <c r="K301" s="218"/>
      <c r="L301" s="218"/>
      <c r="M301" s="218"/>
      <c r="N301" s="218"/>
      <c r="O301" s="218"/>
      <c r="P301" s="218"/>
      <c r="Q301" s="218"/>
    </row>
    <row r="302">
      <c r="A302" s="218"/>
      <c r="B302" s="218"/>
      <c r="C302" s="218"/>
      <c r="D302" s="218"/>
      <c r="E302" s="218"/>
      <c r="F302" s="218"/>
      <c r="G302" s="218"/>
      <c r="H302" s="218"/>
      <c r="I302" s="218"/>
      <c r="J302" s="218"/>
      <c r="K302" s="218"/>
      <c r="L302" s="218"/>
      <c r="M302" s="218"/>
      <c r="N302" s="218"/>
      <c r="O302" s="218"/>
      <c r="P302" s="218"/>
      <c r="Q302" s="218"/>
    </row>
    <row r="303">
      <c r="A303" s="218"/>
      <c r="B303" s="218"/>
      <c r="C303" s="218"/>
      <c r="D303" s="218"/>
      <c r="E303" s="218"/>
      <c r="F303" s="218"/>
      <c r="G303" s="218"/>
      <c r="H303" s="218"/>
      <c r="I303" s="218"/>
      <c r="J303" s="218"/>
      <c r="K303" s="218"/>
      <c r="L303" s="218"/>
      <c r="M303" s="218"/>
      <c r="N303" s="218"/>
      <c r="O303" s="218"/>
      <c r="P303" s="218"/>
      <c r="Q303" s="218"/>
    </row>
    <row r="304">
      <c r="A304" s="218"/>
      <c r="B304" s="218"/>
      <c r="C304" s="218"/>
      <c r="D304" s="218"/>
      <c r="E304" s="218"/>
      <c r="F304" s="218"/>
      <c r="G304" s="218"/>
      <c r="H304" s="218"/>
      <c r="I304" s="218"/>
      <c r="J304" s="218"/>
      <c r="K304" s="218"/>
      <c r="L304" s="218"/>
      <c r="M304" s="218"/>
      <c r="N304" s="218"/>
      <c r="O304" s="218"/>
      <c r="P304" s="218"/>
      <c r="Q304" s="218"/>
    </row>
    <row r="305">
      <c r="A305" s="218"/>
      <c r="B305" s="218"/>
      <c r="C305" s="218"/>
      <c r="D305" s="218"/>
      <c r="E305" s="218"/>
      <c r="F305" s="218"/>
      <c r="G305" s="218"/>
      <c r="H305" s="218"/>
      <c r="I305" s="218"/>
      <c r="J305" s="218"/>
      <c r="K305" s="218"/>
      <c r="L305" s="218"/>
      <c r="M305" s="218"/>
      <c r="N305" s="218"/>
      <c r="O305" s="218"/>
      <c r="P305" s="218"/>
      <c r="Q305" s="218"/>
    </row>
    <row r="306">
      <c r="A306" s="218"/>
      <c r="B306" s="218"/>
      <c r="C306" s="218"/>
      <c r="D306" s="218"/>
      <c r="E306" s="218"/>
      <c r="F306" s="218"/>
      <c r="G306" s="218"/>
      <c r="H306" s="218"/>
      <c r="I306" s="218"/>
      <c r="J306" s="218"/>
      <c r="K306" s="218"/>
      <c r="L306" s="218"/>
      <c r="M306" s="218"/>
      <c r="N306" s="218"/>
      <c r="O306" s="218"/>
      <c r="P306" s="218"/>
      <c r="Q306" s="218"/>
    </row>
    <row r="307">
      <c r="A307" s="218"/>
      <c r="B307" s="218"/>
      <c r="C307" s="218"/>
      <c r="D307" s="218"/>
      <c r="E307" s="218"/>
      <c r="F307" s="218"/>
      <c r="G307" s="218"/>
      <c r="H307" s="218"/>
      <c r="I307" s="218"/>
      <c r="J307" s="218"/>
      <c r="K307" s="218"/>
      <c r="L307" s="218"/>
      <c r="M307" s="218"/>
      <c r="N307" s="218"/>
      <c r="O307" s="218"/>
      <c r="P307" s="218"/>
      <c r="Q307" s="218"/>
    </row>
    <row r="308">
      <c r="A308" s="218"/>
      <c r="B308" s="218"/>
      <c r="C308" s="218"/>
      <c r="D308" s="218"/>
      <c r="E308" s="218"/>
      <c r="F308" s="218"/>
      <c r="G308" s="218"/>
      <c r="H308" s="218"/>
      <c r="I308" s="218"/>
      <c r="J308" s="218"/>
      <c r="K308" s="218"/>
      <c r="L308" s="218"/>
      <c r="M308" s="218"/>
      <c r="N308" s="218"/>
      <c r="O308" s="218"/>
      <c r="P308" s="218"/>
      <c r="Q308" s="218"/>
    </row>
    <row r="309">
      <c r="A309" s="218"/>
      <c r="B309" s="218"/>
      <c r="C309" s="218"/>
      <c r="D309" s="218"/>
      <c r="E309" s="218"/>
      <c r="F309" s="218"/>
      <c r="G309" s="218"/>
      <c r="H309" s="218"/>
      <c r="I309" s="218"/>
      <c r="J309" s="218"/>
      <c r="K309" s="218"/>
      <c r="L309" s="218"/>
      <c r="M309" s="218"/>
      <c r="N309" s="218"/>
      <c r="O309" s="218"/>
      <c r="P309" s="218"/>
      <c r="Q309" s="218"/>
    </row>
    <row r="310">
      <c r="A310" s="218"/>
      <c r="B310" s="218"/>
      <c r="C310" s="218"/>
      <c r="D310" s="218"/>
      <c r="E310" s="218"/>
      <c r="F310" s="218"/>
      <c r="G310" s="218"/>
      <c r="H310" s="218"/>
      <c r="I310" s="218"/>
      <c r="J310" s="218"/>
      <c r="K310" s="218"/>
      <c r="L310" s="218"/>
      <c r="M310" s="218"/>
      <c r="N310" s="218"/>
      <c r="O310" s="218"/>
      <c r="P310" s="218"/>
      <c r="Q310" s="218"/>
    </row>
    <row r="311">
      <c r="A311" s="218"/>
      <c r="B311" s="218"/>
      <c r="C311" s="218"/>
      <c r="D311" s="218"/>
      <c r="E311" s="218"/>
      <c r="F311" s="218"/>
      <c r="G311" s="218"/>
      <c r="H311" s="218"/>
      <c r="I311" s="218"/>
      <c r="J311" s="218"/>
      <c r="K311" s="218"/>
      <c r="L311" s="218"/>
      <c r="M311" s="218"/>
      <c r="N311" s="218"/>
      <c r="O311" s="218"/>
      <c r="P311" s="218"/>
      <c r="Q311" s="218"/>
    </row>
    <row r="312">
      <c r="A312" s="218"/>
      <c r="B312" s="218"/>
      <c r="C312" s="218"/>
      <c r="D312" s="218"/>
      <c r="E312" s="218"/>
      <c r="F312" s="218"/>
      <c r="G312" s="218"/>
      <c r="H312" s="218"/>
      <c r="I312" s="218"/>
      <c r="J312" s="218"/>
      <c r="K312" s="218"/>
      <c r="L312" s="218"/>
      <c r="M312" s="218"/>
      <c r="N312" s="218"/>
      <c r="O312" s="218"/>
      <c r="P312" s="218"/>
      <c r="Q312" s="218"/>
    </row>
    <row r="313">
      <c r="A313" s="218"/>
      <c r="B313" s="218"/>
      <c r="C313" s="218"/>
      <c r="D313" s="218"/>
      <c r="E313" s="218"/>
      <c r="F313" s="218"/>
      <c r="G313" s="218"/>
      <c r="H313" s="218"/>
      <c r="I313" s="218"/>
      <c r="J313" s="218"/>
      <c r="K313" s="218"/>
      <c r="L313" s="218"/>
      <c r="M313" s="218"/>
      <c r="N313" s="218"/>
      <c r="O313" s="218"/>
      <c r="P313" s="218"/>
      <c r="Q313" s="218"/>
    </row>
    <row r="314">
      <c r="A314" s="218"/>
      <c r="B314" s="218"/>
      <c r="C314" s="218"/>
      <c r="D314" s="218"/>
      <c r="E314" s="218"/>
      <c r="F314" s="218"/>
      <c r="G314" s="218"/>
      <c r="H314" s="218"/>
      <c r="I314" s="218"/>
      <c r="J314" s="218"/>
      <c r="K314" s="218"/>
      <c r="L314" s="218"/>
      <c r="M314" s="218"/>
      <c r="N314" s="218"/>
      <c r="O314" s="218"/>
      <c r="P314" s="218"/>
      <c r="Q314" s="218"/>
    </row>
    <row r="315">
      <c r="A315" s="218"/>
      <c r="B315" s="218"/>
      <c r="C315" s="218"/>
      <c r="D315" s="218"/>
      <c r="E315" s="218"/>
      <c r="F315" s="218"/>
      <c r="G315" s="218"/>
      <c r="H315" s="218"/>
      <c r="I315" s="218"/>
      <c r="J315" s="218"/>
      <c r="K315" s="218"/>
      <c r="L315" s="218"/>
      <c r="M315" s="218"/>
      <c r="N315" s="218"/>
      <c r="O315" s="218"/>
      <c r="P315" s="218"/>
      <c r="Q315" s="218"/>
    </row>
    <row r="316">
      <c r="A316" s="218"/>
      <c r="B316" s="218"/>
      <c r="C316" s="218"/>
      <c r="D316" s="218"/>
      <c r="E316" s="218"/>
      <c r="F316" s="218"/>
      <c r="G316" s="218"/>
      <c r="H316" s="218"/>
      <c r="I316" s="218"/>
      <c r="J316" s="218"/>
      <c r="K316" s="218"/>
      <c r="L316" s="218"/>
      <c r="M316" s="218"/>
      <c r="N316" s="218"/>
      <c r="O316" s="218"/>
      <c r="P316" s="218"/>
      <c r="Q316" s="218"/>
    </row>
    <row r="317">
      <c r="A317" s="218"/>
      <c r="B317" s="218"/>
      <c r="C317" s="218"/>
      <c r="D317" s="218"/>
      <c r="E317" s="218"/>
      <c r="F317" s="218"/>
      <c r="G317" s="218"/>
      <c r="H317" s="218"/>
      <c r="I317" s="218"/>
      <c r="J317" s="218"/>
      <c r="K317" s="218"/>
      <c r="L317" s="218"/>
      <c r="M317" s="218"/>
      <c r="N317" s="218"/>
      <c r="O317" s="218"/>
      <c r="P317" s="218"/>
      <c r="Q317" s="218"/>
    </row>
    <row r="318">
      <c r="A318" s="218"/>
      <c r="B318" s="218"/>
      <c r="C318" s="218"/>
      <c r="D318" s="218"/>
      <c r="E318" s="218"/>
      <c r="F318" s="218"/>
      <c r="G318" s="218"/>
      <c r="H318" s="218"/>
      <c r="I318" s="218"/>
      <c r="J318" s="218"/>
      <c r="K318" s="218"/>
      <c r="L318" s="218"/>
      <c r="M318" s="218"/>
      <c r="N318" s="218"/>
      <c r="O318" s="218"/>
      <c r="P318" s="218"/>
      <c r="Q318" s="218"/>
    </row>
    <row r="319">
      <c r="A319" s="218"/>
      <c r="B319" s="218"/>
      <c r="C319" s="218"/>
      <c r="D319" s="218"/>
      <c r="E319" s="218"/>
      <c r="F319" s="218"/>
      <c r="G319" s="218"/>
      <c r="H319" s="218"/>
      <c r="I319" s="218"/>
      <c r="J319" s="218"/>
      <c r="K319" s="218"/>
      <c r="L319" s="218"/>
      <c r="M319" s="218"/>
      <c r="N319" s="218"/>
      <c r="O319" s="218"/>
      <c r="P319" s="218"/>
      <c r="Q319" s="218"/>
    </row>
    <row r="320">
      <c r="A320" s="218"/>
      <c r="B320" s="218"/>
      <c r="C320" s="218"/>
      <c r="D320" s="218"/>
      <c r="E320" s="218"/>
      <c r="F320" s="218"/>
      <c r="G320" s="218"/>
      <c r="H320" s="218"/>
      <c r="I320" s="218"/>
      <c r="J320" s="218"/>
      <c r="K320" s="218"/>
      <c r="L320" s="218"/>
      <c r="M320" s="218"/>
      <c r="N320" s="218"/>
      <c r="O320" s="218"/>
      <c r="P320" s="218"/>
      <c r="Q320" s="218"/>
    </row>
    <row r="321">
      <c r="A321" s="218"/>
      <c r="B321" s="218"/>
      <c r="C321" s="218"/>
      <c r="D321" s="218"/>
      <c r="E321" s="218"/>
      <c r="F321" s="218"/>
      <c r="G321" s="218"/>
      <c r="H321" s="218"/>
      <c r="I321" s="218"/>
      <c r="J321" s="218"/>
      <c r="K321" s="218"/>
      <c r="L321" s="218"/>
      <c r="M321" s="218"/>
      <c r="N321" s="218"/>
      <c r="O321" s="218"/>
      <c r="P321" s="218"/>
      <c r="Q321" s="218"/>
    </row>
    <row r="322">
      <c r="A322" s="218"/>
      <c r="B322" s="218"/>
      <c r="C322" s="218"/>
      <c r="D322" s="218"/>
      <c r="E322" s="218"/>
      <c r="F322" s="218"/>
      <c r="G322" s="218"/>
      <c r="H322" s="218"/>
      <c r="I322" s="218"/>
      <c r="J322" s="218"/>
      <c r="K322" s="218"/>
      <c r="L322" s="218"/>
      <c r="M322" s="218"/>
      <c r="N322" s="218"/>
      <c r="O322" s="218"/>
      <c r="P322" s="218"/>
      <c r="Q322" s="218"/>
    </row>
    <row r="323">
      <c r="A323" s="218"/>
      <c r="B323" s="218"/>
      <c r="C323" s="218"/>
      <c r="D323" s="218"/>
      <c r="E323" s="218"/>
      <c r="F323" s="218"/>
      <c r="G323" s="218"/>
      <c r="H323" s="218"/>
      <c r="I323" s="218"/>
      <c r="J323" s="218"/>
      <c r="K323" s="218"/>
      <c r="L323" s="218"/>
      <c r="M323" s="218"/>
      <c r="N323" s="218"/>
      <c r="O323" s="218"/>
      <c r="P323" s="218"/>
      <c r="Q323" s="218"/>
    </row>
    <row r="324">
      <c r="A324" s="218"/>
      <c r="B324" s="218"/>
      <c r="C324" s="218"/>
      <c r="D324" s="218"/>
      <c r="E324" s="218"/>
      <c r="F324" s="218"/>
      <c r="G324" s="218"/>
      <c r="H324" s="218"/>
      <c r="I324" s="218"/>
      <c r="J324" s="218"/>
      <c r="K324" s="218"/>
      <c r="L324" s="218"/>
      <c r="M324" s="218"/>
      <c r="N324" s="218"/>
      <c r="O324" s="218"/>
      <c r="P324" s="218"/>
      <c r="Q324" s="218"/>
    </row>
    <row r="325">
      <c r="A325" s="218"/>
      <c r="B325" s="218"/>
      <c r="C325" s="218"/>
      <c r="D325" s="218"/>
      <c r="E325" s="218"/>
      <c r="F325" s="218"/>
      <c r="G325" s="218"/>
      <c r="H325" s="218"/>
      <c r="I325" s="218"/>
      <c r="J325" s="218"/>
      <c r="K325" s="218"/>
      <c r="L325" s="218"/>
      <c r="M325" s="218"/>
      <c r="N325" s="218"/>
      <c r="O325" s="218"/>
      <c r="P325" s="218"/>
      <c r="Q325" s="218"/>
    </row>
    <row r="326">
      <c r="A326" s="218"/>
      <c r="B326" s="218"/>
      <c r="C326" s="218"/>
      <c r="D326" s="218"/>
      <c r="E326" s="218"/>
      <c r="F326" s="218"/>
      <c r="G326" s="218"/>
      <c r="H326" s="218"/>
      <c r="I326" s="218"/>
      <c r="J326" s="218"/>
      <c r="K326" s="218"/>
      <c r="L326" s="218"/>
      <c r="M326" s="218"/>
      <c r="N326" s="218"/>
      <c r="O326" s="218"/>
      <c r="P326" s="218"/>
      <c r="Q326" s="218"/>
    </row>
    <row r="327">
      <c r="A327" s="218"/>
      <c r="B327" s="218"/>
      <c r="C327" s="218"/>
      <c r="D327" s="218"/>
      <c r="E327" s="218"/>
      <c r="F327" s="218"/>
      <c r="G327" s="218"/>
      <c r="H327" s="218"/>
      <c r="I327" s="218"/>
      <c r="J327" s="218"/>
      <c r="K327" s="218"/>
      <c r="L327" s="218"/>
      <c r="M327" s="218"/>
      <c r="N327" s="218"/>
      <c r="O327" s="218"/>
      <c r="P327" s="218"/>
      <c r="Q327" s="218"/>
    </row>
    <row r="328">
      <c r="A328" s="218"/>
      <c r="B328" s="218"/>
      <c r="C328" s="218"/>
      <c r="D328" s="218"/>
      <c r="E328" s="218"/>
      <c r="F328" s="218"/>
      <c r="G328" s="218"/>
      <c r="H328" s="218"/>
      <c r="I328" s="218"/>
      <c r="J328" s="218"/>
      <c r="K328" s="218"/>
      <c r="L328" s="218"/>
      <c r="M328" s="218"/>
      <c r="N328" s="218"/>
      <c r="O328" s="218"/>
      <c r="P328" s="218"/>
      <c r="Q328" s="218"/>
    </row>
    <row r="329">
      <c r="A329" s="218"/>
      <c r="B329" s="218"/>
      <c r="C329" s="218"/>
      <c r="D329" s="218"/>
      <c r="E329" s="218"/>
      <c r="F329" s="218"/>
      <c r="G329" s="218"/>
      <c r="H329" s="218"/>
      <c r="I329" s="218"/>
      <c r="J329" s="218"/>
      <c r="K329" s="218"/>
      <c r="L329" s="218"/>
      <c r="M329" s="218"/>
      <c r="N329" s="218"/>
      <c r="O329" s="218"/>
      <c r="P329" s="218"/>
      <c r="Q329" s="218"/>
    </row>
    <row r="330">
      <c r="A330" s="218"/>
      <c r="B330" s="218"/>
      <c r="C330" s="218"/>
      <c r="D330" s="218"/>
      <c r="E330" s="218"/>
      <c r="F330" s="218"/>
      <c r="G330" s="218"/>
      <c r="H330" s="218"/>
      <c r="I330" s="218"/>
      <c r="J330" s="218"/>
      <c r="K330" s="218"/>
      <c r="L330" s="218"/>
      <c r="M330" s="218"/>
      <c r="N330" s="218"/>
      <c r="O330" s="218"/>
      <c r="P330" s="218"/>
      <c r="Q330" s="218"/>
    </row>
    <row r="331">
      <c r="A331" s="218"/>
      <c r="B331" s="218"/>
      <c r="C331" s="218"/>
      <c r="D331" s="218"/>
      <c r="E331" s="218"/>
      <c r="F331" s="218"/>
      <c r="G331" s="218"/>
      <c r="H331" s="218"/>
      <c r="I331" s="218"/>
      <c r="J331" s="218"/>
      <c r="K331" s="218"/>
      <c r="L331" s="218"/>
      <c r="M331" s="218"/>
      <c r="N331" s="218"/>
      <c r="O331" s="218"/>
      <c r="P331" s="218"/>
      <c r="Q331" s="218"/>
    </row>
    <row r="332">
      <c r="A332" s="218"/>
      <c r="B332" s="218"/>
      <c r="C332" s="218"/>
      <c r="D332" s="218"/>
      <c r="E332" s="218"/>
      <c r="F332" s="218"/>
      <c r="G332" s="218"/>
      <c r="H332" s="218"/>
      <c r="I332" s="218"/>
      <c r="J332" s="218"/>
      <c r="K332" s="218"/>
      <c r="L332" s="218"/>
      <c r="M332" s="218"/>
      <c r="N332" s="218"/>
      <c r="O332" s="218"/>
      <c r="P332" s="218"/>
      <c r="Q332" s="218"/>
    </row>
    <row r="333">
      <c r="A333" s="218"/>
      <c r="B333" s="218"/>
      <c r="C333" s="218"/>
      <c r="D333" s="218"/>
      <c r="E333" s="218"/>
      <c r="F333" s="218"/>
      <c r="G333" s="218"/>
      <c r="H333" s="218"/>
      <c r="I333" s="218"/>
      <c r="J333" s="218"/>
      <c r="K333" s="218"/>
      <c r="L333" s="218"/>
      <c r="M333" s="218"/>
      <c r="N333" s="218"/>
      <c r="O333" s="218"/>
      <c r="P333" s="218"/>
      <c r="Q333" s="218"/>
    </row>
    <row r="334">
      <c r="A334" s="218"/>
      <c r="B334" s="218"/>
      <c r="C334" s="218"/>
      <c r="D334" s="218"/>
      <c r="E334" s="218"/>
      <c r="F334" s="218"/>
      <c r="G334" s="218"/>
      <c r="H334" s="218"/>
      <c r="I334" s="218"/>
      <c r="J334" s="218"/>
      <c r="K334" s="218"/>
      <c r="L334" s="218"/>
      <c r="M334" s="218"/>
      <c r="N334" s="218"/>
      <c r="O334" s="218"/>
      <c r="P334" s="218"/>
      <c r="Q334" s="218"/>
    </row>
    <row r="335">
      <c r="A335" s="218"/>
      <c r="B335" s="218"/>
      <c r="C335" s="218"/>
      <c r="D335" s="218"/>
      <c r="E335" s="218"/>
      <c r="F335" s="218"/>
      <c r="G335" s="218"/>
      <c r="H335" s="218"/>
      <c r="I335" s="218"/>
      <c r="J335" s="218"/>
      <c r="K335" s="218"/>
      <c r="L335" s="218"/>
      <c r="M335" s="218"/>
      <c r="N335" s="218"/>
      <c r="O335" s="218"/>
      <c r="P335" s="218"/>
      <c r="Q335" s="218"/>
    </row>
    <row r="336">
      <c r="A336" s="218"/>
      <c r="B336" s="218"/>
      <c r="C336" s="218"/>
      <c r="D336" s="218"/>
      <c r="E336" s="218"/>
      <c r="F336" s="218"/>
      <c r="G336" s="218"/>
      <c r="H336" s="218"/>
      <c r="I336" s="218"/>
      <c r="J336" s="218"/>
      <c r="K336" s="218"/>
      <c r="L336" s="218"/>
      <c r="M336" s="218"/>
      <c r="N336" s="218"/>
      <c r="O336" s="218"/>
      <c r="P336" s="218"/>
      <c r="Q336" s="218"/>
    </row>
    <row r="337">
      <c r="A337" s="218"/>
      <c r="B337" s="218"/>
      <c r="C337" s="218"/>
      <c r="D337" s="218"/>
      <c r="E337" s="218"/>
      <c r="F337" s="218"/>
      <c r="G337" s="218"/>
      <c r="H337" s="218"/>
      <c r="I337" s="218"/>
      <c r="J337" s="218"/>
      <c r="K337" s="218"/>
      <c r="L337" s="218"/>
      <c r="M337" s="218"/>
      <c r="N337" s="218"/>
      <c r="O337" s="218"/>
      <c r="P337" s="218"/>
      <c r="Q337" s="218"/>
    </row>
    <row r="338">
      <c r="A338" s="218"/>
      <c r="B338" s="218"/>
      <c r="C338" s="218"/>
      <c r="D338" s="218"/>
      <c r="E338" s="218"/>
      <c r="F338" s="218"/>
      <c r="G338" s="218"/>
      <c r="H338" s="218"/>
      <c r="I338" s="218"/>
      <c r="J338" s="218"/>
      <c r="K338" s="218"/>
      <c r="L338" s="218"/>
      <c r="M338" s="218"/>
      <c r="N338" s="218"/>
      <c r="O338" s="218"/>
      <c r="P338" s="218"/>
      <c r="Q338" s="218"/>
    </row>
    <row r="339">
      <c r="A339" s="218"/>
      <c r="B339" s="218"/>
      <c r="C339" s="218"/>
      <c r="D339" s="218"/>
      <c r="E339" s="218"/>
      <c r="F339" s="218"/>
      <c r="G339" s="218"/>
      <c r="H339" s="218"/>
      <c r="I339" s="218"/>
      <c r="J339" s="218"/>
      <c r="K339" s="218"/>
      <c r="L339" s="218"/>
      <c r="M339" s="218"/>
      <c r="N339" s="218"/>
      <c r="O339" s="218"/>
      <c r="P339" s="218"/>
      <c r="Q339" s="218"/>
    </row>
    <row r="340">
      <c r="A340" s="218"/>
      <c r="B340" s="218"/>
      <c r="C340" s="218"/>
      <c r="D340" s="218"/>
      <c r="E340" s="218"/>
      <c r="F340" s="218"/>
      <c r="G340" s="218"/>
      <c r="H340" s="218"/>
      <c r="I340" s="218"/>
      <c r="J340" s="218"/>
      <c r="K340" s="218"/>
      <c r="L340" s="218"/>
      <c r="M340" s="218"/>
      <c r="N340" s="218"/>
      <c r="O340" s="218"/>
      <c r="P340" s="218"/>
      <c r="Q340" s="218"/>
    </row>
    <row r="341">
      <c r="A341" s="218"/>
      <c r="B341" s="218"/>
      <c r="C341" s="218"/>
      <c r="D341" s="218"/>
      <c r="E341" s="218"/>
      <c r="F341" s="218"/>
      <c r="G341" s="218"/>
      <c r="H341" s="218"/>
      <c r="I341" s="218"/>
      <c r="J341" s="218"/>
      <c r="K341" s="218"/>
      <c r="L341" s="218"/>
      <c r="M341" s="218"/>
      <c r="N341" s="218"/>
      <c r="O341" s="218"/>
      <c r="P341" s="218"/>
      <c r="Q341" s="218"/>
    </row>
    <row r="342">
      <c r="A342" s="218"/>
      <c r="B342" s="218"/>
      <c r="C342" s="218"/>
      <c r="D342" s="218"/>
      <c r="E342" s="218"/>
      <c r="F342" s="218"/>
      <c r="G342" s="218"/>
      <c r="H342" s="218"/>
      <c r="I342" s="218"/>
      <c r="J342" s="218"/>
      <c r="K342" s="218"/>
      <c r="L342" s="218"/>
      <c r="M342" s="218"/>
      <c r="N342" s="218"/>
      <c r="O342" s="218"/>
      <c r="P342" s="218"/>
      <c r="Q342" s="218"/>
    </row>
    <row r="343">
      <c r="A343" s="218"/>
      <c r="B343" s="218"/>
      <c r="C343" s="218"/>
      <c r="D343" s="218"/>
      <c r="E343" s="218"/>
      <c r="F343" s="218"/>
      <c r="G343" s="218"/>
      <c r="H343" s="218"/>
      <c r="I343" s="218"/>
      <c r="J343" s="218"/>
      <c r="K343" s="218"/>
      <c r="L343" s="218"/>
      <c r="M343" s="218"/>
      <c r="N343" s="218"/>
      <c r="O343" s="218"/>
      <c r="P343" s="218"/>
      <c r="Q343" s="218"/>
    </row>
    <row r="344">
      <c r="A344" s="218"/>
      <c r="B344" s="218"/>
      <c r="C344" s="218"/>
      <c r="D344" s="218"/>
      <c r="E344" s="218"/>
      <c r="F344" s="218"/>
      <c r="G344" s="218"/>
      <c r="H344" s="218"/>
      <c r="I344" s="218"/>
      <c r="J344" s="218"/>
      <c r="K344" s="218"/>
      <c r="L344" s="218"/>
      <c r="M344" s="218"/>
      <c r="N344" s="218"/>
      <c r="O344" s="218"/>
      <c r="P344" s="218"/>
      <c r="Q344" s="218"/>
    </row>
    <row r="345">
      <c r="A345" s="218"/>
      <c r="B345" s="218"/>
      <c r="C345" s="218"/>
      <c r="D345" s="218"/>
      <c r="E345" s="218"/>
      <c r="F345" s="218"/>
      <c r="G345" s="218"/>
      <c r="H345" s="218"/>
      <c r="I345" s="218"/>
      <c r="J345" s="218"/>
      <c r="K345" s="218"/>
      <c r="L345" s="218"/>
      <c r="M345" s="218"/>
      <c r="N345" s="218"/>
      <c r="O345" s="218"/>
      <c r="P345" s="218"/>
      <c r="Q345" s="218"/>
    </row>
    <row r="346">
      <c r="A346" s="218"/>
      <c r="B346" s="218"/>
      <c r="C346" s="218"/>
      <c r="D346" s="218"/>
      <c r="E346" s="218"/>
      <c r="F346" s="218"/>
      <c r="G346" s="218"/>
      <c r="H346" s="218"/>
      <c r="I346" s="218"/>
      <c r="J346" s="218"/>
      <c r="K346" s="218"/>
      <c r="L346" s="218"/>
      <c r="M346" s="218"/>
      <c r="N346" s="218"/>
      <c r="O346" s="218"/>
      <c r="P346" s="218"/>
      <c r="Q346" s="218"/>
    </row>
    <row r="347">
      <c r="A347" s="218"/>
      <c r="B347" s="218"/>
      <c r="C347" s="218"/>
      <c r="D347" s="218"/>
      <c r="E347" s="218"/>
      <c r="F347" s="218"/>
      <c r="G347" s="218"/>
      <c r="H347" s="218"/>
      <c r="I347" s="218"/>
      <c r="J347" s="218"/>
      <c r="K347" s="218"/>
      <c r="L347" s="218"/>
      <c r="M347" s="218"/>
      <c r="N347" s="218"/>
      <c r="O347" s="218"/>
      <c r="P347" s="218"/>
      <c r="Q347" s="218"/>
    </row>
    <row r="348">
      <c r="A348" s="218"/>
      <c r="B348" s="218"/>
      <c r="C348" s="218"/>
      <c r="D348" s="218"/>
      <c r="E348" s="218"/>
      <c r="F348" s="218"/>
      <c r="G348" s="218"/>
      <c r="H348" s="218"/>
      <c r="I348" s="218"/>
      <c r="J348" s="218"/>
      <c r="K348" s="218"/>
      <c r="L348" s="218"/>
      <c r="M348" s="218"/>
      <c r="N348" s="218"/>
      <c r="O348" s="218"/>
      <c r="P348" s="218"/>
      <c r="Q348" s="218"/>
    </row>
    <row r="349">
      <c r="A349" s="218"/>
      <c r="B349" s="218"/>
      <c r="C349" s="218"/>
      <c r="D349" s="218"/>
      <c r="E349" s="218"/>
      <c r="F349" s="218"/>
      <c r="G349" s="218"/>
      <c r="H349" s="218"/>
      <c r="I349" s="218"/>
      <c r="J349" s="218"/>
      <c r="K349" s="218"/>
      <c r="L349" s="218"/>
      <c r="M349" s="218"/>
      <c r="N349" s="218"/>
      <c r="O349" s="218"/>
      <c r="P349" s="218"/>
      <c r="Q349" s="218"/>
    </row>
    <row r="350">
      <c r="A350" s="218"/>
      <c r="B350" s="218"/>
      <c r="C350" s="218"/>
      <c r="D350" s="218"/>
      <c r="E350" s="218"/>
      <c r="F350" s="218"/>
      <c r="G350" s="218"/>
      <c r="H350" s="218"/>
      <c r="I350" s="218"/>
      <c r="J350" s="218"/>
      <c r="K350" s="218"/>
      <c r="L350" s="218"/>
      <c r="M350" s="218"/>
      <c r="N350" s="218"/>
      <c r="O350" s="218"/>
      <c r="P350" s="218"/>
      <c r="Q350" s="218"/>
    </row>
    <row r="351">
      <c r="A351" s="218"/>
      <c r="B351" s="218"/>
      <c r="C351" s="218"/>
      <c r="D351" s="218"/>
      <c r="E351" s="218"/>
      <c r="F351" s="218"/>
      <c r="G351" s="218"/>
      <c r="H351" s="218"/>
      <c r="I351" s="218"/>
      <c r="J351" s="218"/>
      <c r="K351" s="218"/>
      <c r="L351" s="218"/>
      <c r="M351" s="218"/>
      <c r="N351" s="218"/>
      <c r="O351" s="218"/>
      <c r="P351" s="218"/>
      <c r="Q351" s="218"/>
    </row>
    <row r="352">
      <c r="A352" s="218"/>
      <c r="B352" s="218"/>
      <c r="C352" s="218"/>
      <c r="D352" s="218"/>
      <c r="E352" s="218"/>
      <c r="F352" s="218"/>
      <c r="G352" s="218"/>
      <c r="H352" s="218"/>
      <c r="I352" s="218"/>
      <c r="J352" s="218"/>
      <c r="K352" s="218"/>
      <c r="L352" s="218"/>
      <c r="M352" s="218"/>
      <c r="N352" s="218"/>
      <c r="O352" s="218"/>
      <c r="P352" s="218"/>
      <c r="Q352" s="218"/>
    </row>
    <row r="353">
      <c r="A353" s="218"/>
      <c r="B353" s="218"/>
      <c r="C353" s="218"/>
      <c r="D353" s="218"/>
      <c r="E353" s="218"/>
      <c r="F353" s="218"/>
      <c r="G353" s="218"/>
      <c r="H353" s="218"/>
      <c r="I353" s="218"/>
      <c r="J353" s="218"/>
      <c r="K353" s="218"/>
      <c r="L353" s="218"/>
      <c r="M353" s="218"/>
      <c r="N353" s="218"/>
      <c r="O353" s="218"/>
      <c r="P353" s="218"/>
      <c r="Q353" s="218"/>
    </row>
    <row r="354">
      <c r="A354" s="218"/>
      <c r="B354" s="218"/>
      <c r="C354" s="218"/>
      <c r="D354" s="218"/>
      <c r="E354" s="218"/>
      <c r="F354" s="218"/>
      <c r="G354" s="218"/>
      <c r="H354" s="218"/>
      <c r="I354" s="218"/>
      <c r="J354" s="218"/>
      <c r="K354" s="218"/>
      <c r="L354" s="218"/>
      <c r="M354" s="218"/>
      <c r="N354" s="218"/>
      <c r="O354" s="218"/>
      <c r="P354" s="218"/>
      <c r="Q354" s="218"/>
    </row>
    <row r="355">
      <c r="A355" s="218"/>
      <c r="B355" s="218"/>
      <c r="C355" s="218"/>
      <c r="D355" s="218"/>
      <c r="E355" s="218"/>
      <c r="F355" s="218"/>
      <c r="G355" s="218"/>
      <c r="H355" s="218"/>
      <c r="I355" s="218"/>
      <c r="J355" s="218"/>
      <c r="K355" s="218"/>
      <c r="L355" s="218"/>
      <c r="M355" s="218"/>
      <c r="N355" s="218"/>
      <c r="O355" s="218"/>
      <c r="P355" s="218"/>
      <c r="Q355" s="218"/>
    </row>
    <row r="356">
      <c r="A356" s="218"/>
      <c r="B356" s="218"/>
      <c r="C356" s="218"/>
      <c r="D356" s="218"/>
      <c r="E356" s="218"/>
      <c r="F356" s="218"/>
      <c r="G356" s="218"/>
      <c r="H356" s="218"/>
      <c r="I356" s="218"/>
      <c r="J356" s="218"/>
      <c r="K356" s="218"/>
      <c r="L356" s="218"/>
      <c r="M356" s="218"/>
      <c r="N356" s="218"/>
      <c r="O356" s="218"/>
      <c r="P356" s="218"/>
      <c r="Q356" s="218"/>
    </row>
    <row r="357">
      <c r="A357" s="218"/>
      <c r="B357" s="218"/>
      <c r="C357" s="218"/>
      <c r="D357" s="218"/>
      <c r="E357" s="218"/>
      <c r="F357" s="218"/>
      <c r="G357" s="218"/>
      <c r="H357" s="218"/>
      <c r="I357" s="218"/>
      <c r="J357" s="218"/>
      <c r="K357" s="218"/>
      <c r="L357" s="218"/>
      <c r="M357" s="218"/>
      <c r="N357" s="218"/>
      <c r="O357" s="218"/>
      <c r="P357" s="218"/>
      <c r="Q357" s="218"/>
    </row>
    <row r="358">
      <c r="A358" s="218"/>
      <c r="B358" s="218"/>
      <c r="C358" s="218"/>
      <c r="D358" s="218"/>
      <c r="E358" s="218"/>
      <c r="F358" s="218"/>
      <c r="G358" s="218"/>
      <c r="H358" s="218"/>
      <c r="I358" s="218"/>
      <c r="J358" s="218"/>
      <c r="K358" s="218"/>
      <c r="L358" s="218"/>
      <c r="M358" s="218"/>
      <c r="N358" s="218"/>
      <c r="O358" s="218"/>
      <c r="P358" s="218"/>
      <c r="Q358" s="218"/>
    </row>
    <row r="359">
      <c r="A359" s="218"/>
      <c r="B359" s="218"/>
      <c r="C359" s="218"/>
      <c r="D359" s="218"/>
      <c r="E359" s="218"/>
      <c r="F359" s="218"/>
      <c r="G359" s="218"/>
      <c r="H359" s="218"/>
      <c r="I359" s="218"/>
      <c r="J359" s="218"/>
      <c r="K359" s="218"/>
      <c r="L359" s="218"/>
      <c r="M359" s="218"/>
      <c r="N359" s="218"/>
      <c r="O359" s="218"/>
      <c r="P359" s="218"/>
      <c r="Q359" s="218"/>
    </row>
    <row r="360">
      <c r="A360" s="218"/>
      <c r="B360" s="218"/>
      <c r="C360" s="218"/>
      <c r="D360" s="218"/>
      <c r="E360" s="218"/>
      <c r="F360" s="218"/>
      <c r="G360" s="218"/>
      <c r="H360" s="218"/>
      <c r="I360" s="218"/>
      <c r="J360" s="218"/>
      <c r="K360" s="218"/>
      <c r="L360" s="218"/>
      <c r="M360" s="218"/>
      <c r="N360" s="218"/>
      <c r="O360" s="218"/>
      <c r="P360" s="218"/>
      <c r="Q360" s="218"/>
    </row>
    <row r="361">
      <c r="A361" s="218"/>
      <c r="B361" s="218"/>
      <c r="C361" s="218"/>
      <c r="D361" s="218"/>
      <c r="E361" s="218"/>
      <c r="F361" s="218"/>
      <c r="G361" s="218"/>
      <c r="H361" s="218"/>
      <c r="I361" s="218"/>
      <c r="J361" s="218"/>
      <c r="K361" s="218"/>
      <c r="L361" s="218"/>
      <c r="M361" s="218"/>
      <c r="N361" s="218"/>
      <c r="O361" s="218"/>
      <c r="P361" s="218"/>
      <c r="Q361" s="218"/>
    </row>
    <row r="362">
      <c r="A362" s="218"/>
      <c r="B362" s="218"/>
      <c r="C362" s="218"/>
      <c r="D362" s="218"/>
      <c r="E362" s="218"/>
      <c r="F362" s="218"/>
      <c r="G362" s="218"/>
      <c r="H362" s="218"/>
      <c r="I362" s="218"/>
      <c r="J362" s="218"/>
      <c r="K362" s="218"/>
      <c r="L362" s="218"/>
      <c r="M362" s="218"/>
      <c r="N362" s="218"/>
      <c r="O362" s="218"/>
      <c r="P362" s="218"/>
      <c r="Q362" s="218"/>
    </row>
    <row r="363">
      <c r="A363" s="218"/>
      <c r="B363" s="218"/>
      <c r="C363" s="218"/>
      <c r="D363" s="218"/>
      <c r="E363" s="218"/>
      <c r="F363" s="218"/>
      <c r="G363" s="218"/>
      <c r="H363" s="218"/>
      <c r="I363" s="218"/>
      <c r="J363" s="218"/>
      <c r="K363" s="218"/>
      <c r="L363" s="218"/>
      <c r="M363" s="218"/>
      <c r="N363" s="218"/>
      <c r="O363" s="218"/>
      <c r="P363" s="218"/>
      <c r="Q363" s="218"/>
    </row>
    <row r="364">
      <c r="A364" s="218"/>
      <c r="B364" s="218"/>
      <c r="C364" s="218"/>
      <c r="D364" s="218"/>
      <c r="E364" s="218"/>
      <c r="F364" s="218"/>
      <c r="G364" s="218"/>
      <c r="H364" s="218"/>
      <c r="I364" s="218"/>
      <c r="J364" s="218"/>
      <c r="K364" s="218"/>
      <c r="L364" s="218"/>
      <c r="M364" s="218"/>
      <c r="N364" s="218"/>
      <c r="O364" s="218"/>
      <c r="P364" s="218"/>
      <c r="Q364" s="218"/>
    </row>
    <row r="365">
      <c r="A365" s="218"/>
      <c r="B365" s="218"/>
      <c r="C365" s="218"/>
      <c r="D365" s="218"/>
      <c r="E365" s="218"/>
      <c r="F365" s="218"/>
      <c r="G365" s="218"/>
      <c r="H365" s="218"/>
      <c r="I365" s="218"/>
      <c r="J365" s="218"/>
      <c r="K365" s="218"/>
      <c r="L365" s="218"/>
      <c r="M365" s="218"/>
      <c r="N365" s="218"/>
      <c r="O365" s="218"/>
      <c r="P365" s="218"/>
      <c r="Q365" s="218"/>
    </row>
    <row r="366">
      <c r="A366" s="218"/>
      <c r="B366" s="218"/>
      <c r="C366" s="218"/>
      <c r="D366" s="218"/>
      <c r="E366" s="218"/>
      <c r="F366" s="218"/>
      <c r="G366" s="218"/>
      <c r="H366" s="218"/>
      <c r="I366" s="218"/>
      <c r="J366" s="218"/>
      <c r="K366" s="218"/>
      <c r="L366" s="218"/>
      <c r="M366" s="218"/>
      <c r="N366" s="218"/>
      <c r="O366" s="218"/>
      <c r="P366" s="218"/>
      <c r="Q366" s="218"/>
    </row>
    <row r="367">
      <c r="A367" s="218"/>
      <c r="B367" s="218"/>
      <c r="C367" s="218"/>
      <c r="D367" s="218"/>
      <c r="E367" s="218"/>
      <c r="F367" s="218"/>
      <c r="G367" s="218"/>
      <c r="H367" s="218"/>
      <c r="I367" s="218"/>
      <c r="J367" s="218"/>
      <c r="K367" s="218"/>
      <c r="L367" s="218"/>
      <c r="M367" s="218"/>
      <c r="N367" s="218"/>
      <c r="O367" s="218"/>
      <c r="P367" s="218"/>
      <c r="Q367" s="218"/>
    </row>
    <row r="368">
      <c r="A368" s="218"/>
      <c r="B368" s="218"/>
      <c r="C368" s="218"/>
      <c r="D368" s="218"/>
      <c r="E368" s="218"/>
      <c r="F368" s="218"/>
      <c r="G368" s="218"/>
      <c r="H368" s="218"/>
      <c r="I368" s="218"/>
      <c r="J368" s="218"/>
      <c r="K368" s="218"/>
      <c r="L368" s="218"/>
      <c r="M368" s="218"/>
      <c r="N368" s="218"/>
      <c r="O368" s="218"/>
      <c r="P368" s="218"/>
      <c r="Q368" s="218"/>
    </row>
    <row r="369">
      <c r="A369" s="218"/>
      <c r="B369" s="218"/>
      <c r="C369" s="218"/>
      <c r="D369" s="218"/>
      <c r="E369" s="218"/>
      <c r="F369" s="218"/>
      <c r="G369" s="218"/>
      <c r="H369" s="218"/>
      <c r="I369" s="218"/>
      <c r="J369" s="218"/>
      <c r="K369" s="218"/>
      <c r="L369" s="218"/>
      <c r="M369" s="218"/>
      <c r="N369" s="218"/>
      <c r="O369" s="218"/>
      <c r="P369" s="218"/>
      <c r="Q369" s="218"/>
    </row>
    <row r="370">
      <c r="A370" s="218"/>
      <c r="B370" s="218"/>
      <c r="C370" s="218"/>
      <c r="D370" s="218"/>
      <c r="E370" s="218"/>
      <c r="F370" s="218"/>
      <c r="G370" s="218"/>
      <c r="H370" s="218"/>
      <c r="I370" s="218"/>
      <c r="J370" s="218"/>
      <c r="K370" s="218"/>
      <c r="L370" s="218"/>
      <c r="M370" s="218"/>
      <c r="N370" s="218"/>
      <c r="O370" s="218"/>
      <c r="P370" s="218"/>
      <c r="Q370" s="218"/>
    </row>
    <row r="371">
      <c r="A371" s="218"/>
      <c r="B371" s="218"/>
      <c r="C371" s="218"/>
      <c r="D371" s="218"/>
      <c r="E371" s="218"/>
      <c r="F371" s="218"/>
      <c r="G371" s="218"/>
      <c r="H371" s="218"/>
      <c r="I371" s="218"/>
      <c r="J371" s="218"/>
      <c r="K371" s="218"/>
      <c r="L371" s="218"/>
      <c r="M371" s="218"/>
      <c r="N371" s="218"/>
      <c r="O371" s="218"/>
      <c r="P371" s="218"/>
      <c r="Q371" s="218"/>
    </row>
    <row r="372">
      <c r="A372" s="218"/>
      <c r="B372" s="218"/>
      <c r="C372" s="218"/>
      <c r="D372" s="218"/>
      <c r="E372" s="218"/>
      <c r="F372" s="218"/>
      <c r="G372" s="218"/>
      <c r="H372" s="218"/>
      <c r="I372" s="218"/>
      <c r="J372" s="218"/>
      <c r="K372" s="218"/>
      <c r="L372" s="218"/>
      <c r="M372" s="218"/>
      <c r="N372" s="218"/>
      <c r="O372" s="218"/>
      <c r="P372" s="218"/>
      <c r="Q372" s="218"/>
    </row>
    <row r="373">
      <c r="A373" s="218"/>
      <c r="B373" s="218"/>
      <c r="C373" s="218"/>
      <c r="D373" s="218"/>
      <c r="E373" s="218"/>
      <c r="F373" s="218"/>
      <c r="G373" s="218"/>
      <c r="H373" s="218"/>
      <c r="I373" s="218"/>
      <c r="J373" s="218"/>
      <c r="K373" s="218"/>
      <c r="L373" s="218"/>
      <c r="M373" s="218"/>
      <c r="N373" s="218"/>
      <c r="O373" s="218"/>
      <c r="P373" s="218"/>
      <c r="Q373" s="218"/>
    </row>
    <row r="374">
      <c r="A374" s="218"/>
      <c r="B374" s="218"/>
      <c r="C374" s="218"/>
      <c r="D374" s="218"/>
      <c r="E374" s="218"/>
      <c r="F374" s="218"/>
      <c r="G374" s="218"/>
      <c r="H374" s="218"/>
      <c r="I374" s="218"/>
      <c r="J374" s="218"/>
      <c r="K374" s="218"/>
      <c r="L374" s="218"/>
      <c r="M374" s="218"/>
      <c r="N374" s="218"/>
      <c r="O374" s="218"/>
      <c r="P374" s="218"/>
      <c r="Q374" s="218"/>
    </row>
    <row r="375">
      <c r="A375" s="218"/>
      <c r="B375" s="218"/>
      <c r="C375" s="218"/>
      <c r="D375" s="218"/>
      <c r="E375" s="218"/>
      <c r="F375" s="218"/>
      <c r="G375" s="218"/>
      <c r="H375" s="218"/>
      <c r="I375" s="218"/>
      <c r="J375" s="218"/>
      <c r="K375" s="218"/>
      <c r="L375" s="218"/>
      <c r="M375" s="218"/>
      <c r="N375" s="218"/>
      <c r="O375" s="218"/>
      <c r="P375" s="218"/>
      <c r="Q375" s="218"/>
    </row>
    <row r="376">
      <c r="A376" s="218"/>
      <c r="B376" s="218"/>
      <c r="C376" s="218"/>
      <c r="D376" s="218"/>
      <c r="E376" s="218"/>
      <c r="F376" s="218"/>
      <c r="G376" s="218"/>
      <c r="H376" s="218"/>
      <c r="I376" s="218"/>
      <c r="J376" s="218"/>
      <c r="K376" s="218"/>
      <c r="L376" s="218"/>
      <c r="M376" s="218"/>
      <c r="N376" s="218"/>
      <c r="O376" s="218"/>
      <c r="P376" s="218"/>
      <c r="Q376" s="218"/>
    </row>
    <row r="377">
      <c r="A377" s="218"/>
      <c r="B377" s="218"/>
      <c r="C377" s="218"/>
      <c r="D377" s="218"/>
      <c r="E377" s="218"/>
      <c r="F377" s="218"/>
      <c r="G377" s="218"/>
      <c r="H377" s="218"/>
      <c r="I377" s="218"/>
      <c r="J377" s="218"/>
      <c r="K377" s="218"/>
      <c r="L377" s="218"/>
      <c r="M377" s="218"/>
      <c r="N377" s="218"/>
      <c r="O377" s="218"/>
      <c r="P377" s="218"/>
      <c r="Q377" s="218"/>
    </row>
    <row r="378">
      <c r="A378" s="218"/>
      <c r="B378" s="218"/>
      <c r="C378" s="218"/>
      <c r="D378" s="218"/>
      <c r="E378" s="218"/>
      <c r="F378" s="218"/>
      <c r="G378" s="218"/>
      <c r="H378" s="218"/>
      <c r="I378" s="218"/>
      <c r="J378" s="218"/>
      <c r="K378" s="218"/>
      <c r="L378" s="218"/>
      <c r="M378" s="218"/>
      <c r="N378" s="218"/>
      <c r="O378" s="218"/>
      <c r="P378" s="218"/>
      <c r="Q378" s="218"/>
    </row>
    <row r="379">
      <c r="A379" s="218"/>
      <c r="B379" s="218"/>
      <c r="C379" s="218"/>
      <c r="D379" s="218"/>
      <c r="E379" s="218"/>
      <c r="F379" s="218"/>
      <c r="G379" s="218"/>
      <c r="H379" s="218"/>
      <c r="I379" s="218"/>
      <c r="J379" s="218"/>
      <c r="K379" s="218"/>
      <c r="L379" s="218"/>
      <c r="M379" s="218"/>
      <c r="N379" s="218"/>
      <c r="O379" s="218"/>
      <c r="P379" s="218"/>
      <c r="Q379" s="218"/>
    </row>
    <row r="380">
      <c r="A380" s="218"/>
      <c r="B380" s="218"/>
      <c r="C380" s="218"/>
      <c r="D380" s="218"/>
      <c r="E380" s="218"/>
      <c r="F380" s="218"/>
      <c r="G380" s="218"/>
      <c r="H380" s="218"/>
      <c r="I380" s="218"/>
      <c r="J380" s="218"/>
      <c r="K380" s="218"/>
      <c r="L380" s="218"/>
      <c r="M380" s="218"/>
      <c r="N380" s="218"/>
      <c r="O380" s="218"/>
      <c r="P380" s="218"/>
      <c r="Q380" s="218"/>
    </row>
    <row r="381">
      <c r="A381" s="218"/>
      <c r="B381" s="218"/>
      <c r="C381" s="218"/>
      <c r="D381" s="218"/>
      <c r="E381" s="218"/>
      <c r="F381" s="218"/>
      <c r="G381" s="218"/>
      <c r="H381" s="218"/>
      <c r="I381" s="218"/>
      <c r="J381" s="218"/>
      <c r="K381" s="218"/>
      <c r="L381" s="218"/>
      <c r="M381" s="218"/>
      <c r="N381" s="218"/>
      <c r="O381" s="218"/>
      <c r="P381" s="218"/>
      <c r="Q381" s="218"/>
    </row>
    <row r="382">
      <c r="A382" s="218"/>
      <c r="B382" s="218"/>
      <c r="C382" s="218"/>
      <c r="D382" s="218"/>
      <c r="E382" s="218"/>
      <c r="F382" s="218"/>
      <c r="G382" s="218"/>
      <c r="H382" s="218"/>
      <c r="I382" s="218"/>
      <c r="J382" s="218"/>
      <c r="K382" s="218"/>
      <c r="L382" s="218"/>
      <c r="M382" s="218"/>
      <c r="N382" s="218"/>
      <c r="O382" s="218"/>
      <c r="P382" s="218"/>
      <c r="Q382" s="218"/>
    </row>
    <row r="383">
      <c r="A383" s="218"/>
      <c r="B383" s="218"/>
      <c r="C383" s="218"/>
      <c r="D383" s="218"/>
      <c r="E383" s="218"/>
      <c r="F383" s="218"/>
      <c r="G383" s="218"/>
      <c r="H383" s="218"/>
      <c r="I383" s="218"/>
      <c r="J383" s="218"/>
      <c r="K383" s="218"/>
      <c r="L383" s="218"/>
      <c r="M383" s="218"/>
      <c r="N383" s="218"/>
      <c r="O383" s="218"/>
      <c r="P383" s="218"/>
      <c r="Q383" s="218"/>
    </row>
    <row r="384">
      <c r="A384" s="218"/>
      <c r="B384" s="218"/>
      <c r="C384" s="218"/>
      <c r="D384" s="218"/>
      <c r="E384" s="218"/>
      <c r="F384" s="218"/>
      <c r="G384" s="218"/>
      <c r="H384" s="218"/>
      <c r="I384" s="218"/>
      <c r="J384" s="218"/>
      <c r="K384" s="218"/>
      <c r="L384" s="218"/>
      <c r="M384" s="218"/>
      <c r="N384" s="218"/>
      <c r="O384" s="218"/>
      <c r="P384" s="218"/>
      <c r="Q384" s="218"/>
    </row>
    <row r="385">
      <c r="A385" s="218"/>
      <c r="B385" s="218"/>
      <c r="C385" s="218"/>
      <c r="D385" s="218"/>
      <c r="E385" s="218"/>
      <c r="F385" s="218"/>
      <c r="G385" s="218"/>
      <c r="H385" s="218"/>
      <c r="I385" s="218"/>
      <c r="J385" s="218"/>
      <c r="K385" s="218"/>
      <c r="L385" s="218"/>
      <c r="M385" s="218"/>
      <c r="N385" s="218"/>
      <c r="O385" s="218"/>
      <c r="P385" s="218"/>
      <c r="Q385" s="218"/>
    </row>
    <row r="386">
      <c r="A386" s="218"/>
      <c r="B386" s="218"/>
      <c r="C386" s="218"/>
      <c r="D386" s="218"/>
      <c r="E386" s="218"/>
      <c r="F386" s="218"/>
      <c r="G386" s="218"/>
      <c r="H386" s="218"/>
      <c r="I386" s="218"/>
      <c r="J386" s="218"/>
      <c r="K386" s="218"/>
      <c r="L386" s="218"/>
      <c r="M386" s="218"/>
      <c r="N386" s="218"/>
      <c r="O386" s="218"/>
      <c r="P386" s="218"/>
      <c r="Q386" s="218"/>
    </row>
    <row r="387">
      <c r="A387" s="218"/>
      <c r="B387" s="218"/>
      <c r="C387" s="218"/>
      <c r="D387" s="218"/>
      <c r="E387" s="218"/>
      <c r="F387" s="218"/>
      <c r="G387" s="218"/>
      <c r="H387" s="218"/>
      <c r="I387" s="218"/>
      <c r="J387" s="218"/>
      <c r="K387" s="218"/>
      <c r="L387" s="218"/>
      <c r="M387" s="218"/>
      <c r="N387" s="218"/>
      <c r="O387" s="218"/>
      <c r="P387" s="218"/>
      <c r="Q387" s="218"/>
    </row>
    <row r="388">
      <c r="A388" s="218"/>
      <c r="B388" s="218"/>
      <c r="C388" s="218"/>
      <c r="D388" s="218"/>
      <c r="E388" s="218"/>
      <c r="F388" s="218"/>
      <c r="G388" s="218"/>
      <c r="H388" s="218"/>
      <c r="I388" s="218"/>
      <c r="J388" s="218"/>
      <c r="K388" s="218"/>
      <c r="L388" s="218"/>
      <c r="M388" s="218"/>
      <c r="N388" s="218"/>
      <c r="O388" s="218"/>
      <c r="P388" s="218"/>
      <c r="Q388" s="218"/>
    </row>
    <row r="389">
      <c r="A389" s="218"/>
      <c r="B389" s="218"/>
      <c r="C389" s="218"/>
      <c r="D389" s="218"/>
      <c r="E389" s="218"/>
      <c r="F389" s="218"/>
      <c r="G389" s="218"/>
      <c r="H389" s="218"/>
      <c r="I389" s="218"/>
      <c r="J389" s="218"/>
      <c r="K389" s="218"/>
      <c r="L389" s="218"/>
      <c r="M389" s="218"/>
      <c r="N389" s="218"/>
      <c r="O389" s="218"/>
      <c r="P389" s="218"/>
      <c r="Q389" s="218"/>
    </row>
    <row r="390">
      <c r="A390" s="218"/>
      <c r="B390" s="218"/>
      <c r="C390" s="218"/>
      <c r="D390" s="218"/>
      <c r="E390" s="218"/>
      <c r="F390" s="218"/>
      <c r="G390" s="218"/>
      <c r="H390" s="218"/>
      <c r="I390" s="218"/>
      <c r="J390" s="218"/>
      <c r="K390" s="218"/>
      <c r="L390" s="218"/>
      <c r="M390" s="218"/>
      <c r="N390" s="218"/>
      <c r="O390" s="218"/>
      <c r="P390" s="218"/>
      <c r="Q390" s="218"/>
    </row>
    <row r="391">
      <c r="A391" s="218"/>
      <c r="B391" s="218"/>
      <c r="C391" s="218"/>
      <c r="D391" s="218"/>
      <c r="E391" s="218"/>
      <c r="F391" s="218"/>
      <c r="G391" s="218"/>
      <c r="H391" s="218"/>
      <c r="I391" s="218"/>
      <c r="J391" s="218"/>
      <c r="K391" s="218"/>
      <c r="L391" s="218"/>
      <c r="M391" s="218"/>
      <c r="N391" s="218"/>
      <c r="O391" s="218"/>
      <c r="P391" s="218"/>
      <c r="Q391" s="218"/>
    </row>
    <row r="392">
      <c r="A392" s="218"/>
      <c r="B392" s="218"/>
      <c r="C392" s="218"/>
      <c r="D392" s="218"/>
      <c r="E392" s="218"/>
      <c r="F392" s="218"/>
      <c r="G392" s="218"/>
      <c r="H392" s="218"/>
      <c r="I392" s="218"/>
      <c r="J392" s="218"/>
      <c r="K392" s="218"/>
      <c r="L392" s="218"/>
      <c r="M392" s="218"/>
      <c r="N392" s="218"/>
      <c r="O392" s="218"/>
      <c r="P392" s="218"/>
      <c r="Q392" s="218"/>
    </row>
    <row r="393">
      <c r="A393" s="218"/>
      <c r="B393" s="218"/>
      <c r="C393" s="218"/>
      <c r="D393" s="218"/>
      <c r="E393" s="218"/>
      <c r="F393" s="218"/>
      <c r="G393" s="218"/>
      <c r="H393" s="218"/>
      <c r="I393" s="218"/>
      <c r="J393" s="218"/>
      <c r="K393" s="218"/>
      <c r="L393" s="218"/>
      <c r="M393" s="218"/>
      <c r="N393" s="218"/>
      <c r="O393" s="218"/>
      <c r="P393" s="218"/>
      <c r="Q393" s="218"/>
    </row>
    <row r="394">
      <c r="A394" s="218"/>
      <c r="B394" s="218"/>
      <c r="C394" s="218"/>
      <c r="D394" s="218"/>
      <c r="E394" s="218"/>
      <c r="F394" s="218"/>
      <c r="G394" s="218"/>
      <c r="H394" s="218"/>
      <c r="I394" s="218"/>
      <c r="J394" s="218"/>
      <c r="K394" s="218"/>
      <c r="L394" s="218"/>
      <c r="M394" s="218"/>
      <c r="N394" s="218"/>
      <c r="O394" s="218"/>
      <c r="P394" s="218"/>
      <c r="Q394" s="218"/>
    </row>
    <row r="395">
      <c r="A395" s="218"/>
      <c r="B395" s="218"/>
      <c r="C395" s="218"/>
      <c r="D395" s="218"/>
      <c r="E395" s="218"/>
      <c r="F395" s="218"/>
      <c r="G395" s="218"/>
      <c r="H395" s="218"/>
      <c r="I395" s="218"/>
      <c r="J395" s="218"/>
      <c r="K395" s="218"/>
      <c r="L395" s="218"/>
      <c r="M395" s="218"/>
      <c r="N395" s="218"/>
      <c r="O395" s="218"/>
      <c r="P395" s="218"/>
      <c r="Q395" s="218"/>
    </row>
    <row r="396">
      <c r="A396" s="218"/>
      <c r="B396" s="218"/>
      <c r="C396" s="218"/>
      <c r="D396" s="218"/>
      <c r="E396" s="218"/>
      <c r="F396" s="218"/>
      <c r="G396" s="218"/>
      <c r="H396" s="218"/>
      <c r="I396" s="218"/>
      <c r="J396" s="218"/>
      <c r="K396" s="218"/>
      <c r="L396" s="218"/>
      <c r="M396" s="218"/>
      <c r="N396" s="218"/>
      <c r="O396" s="218"/>
      <c r="P396" s="218"/>
      <c r="Q396" s="218"/>
    </row>
    <row r="397">
      <c r="A397" s="218"/>
      <c r="B397" s="218"/>
      <c r="C397" s="218"/>
      <c r="D397" s="218"/>
      <c r="E397" s="218"/>
      <c r="F397" s="218"/>
      <c r="G397" s="218"/>
      <c r="H397" s="218"/>
      <c r="I397" s="218"/>
      <c r="J397" s="218"/>
      <c r="K397" s="218"/>
      <c r="L397" s="218"/>
      <c r="M397" s="218"/>
      <c r="N397" s="218"/>
      <c r="O397" s="218"/>
      <c r="P397" s="218"/>
      <c r="Q397" s="218"/>
    </row>
    <row r="398">
      <c r="A398" s="218"/>
      <c r="B398" s="218"/>
      <c r="C398" s="218"/>
      <c r="D398" s="218"/>
      <c r="E398" s="218"/>
      <c r="F398" s="218"/>
      <c r="G398" s="218"/>
      <c r="H398" s="218"/>
      <c r="I398" s="218"/>
      <c r="J398" s="218"/>
      <c r="K398" s="218"/>
      <c r="L398" s="218"/>
      <c r="M398" s="218"/>
      <c r="N398" s="218"/>
      <c r="O398" s="218"/>
      <c r="P398" s="218"/>
      <c r="Q398" s="218"/>
    </row>
    <row r="399">
      <c r="A399" s="218"/>
      <c r="B399" s="218"/>
      <c r="C399" s="218"/>
      <c r="D399" s="218"/>
      <c r="E399" s="218"/>
      <c r="F399" s="218"/>
      <c r="G399" s="218"/>
      <c r="H399" s="218"/>
      <c r="I399" s="218"/>
      <c r="J399" s="218"/>
      <c r="K399" s="218"/>
      <c r="L399" s="218"/>
      <c r="M399" s="218"/>
      <c r="N399" s="218"/>
      <c r="O399" s="218"/>
      <c r="P399" s="218"/>
      <c r="Q399" s="218"/>
    </row>
    <row r="400">
      <c r="A400" s="218"/>
      <c r="B400" s="218"/>
      <c r="C400" s="218"/>
      <c r="D400" s="218"/>
      <c r="E400" s="218"/>
      <c r="F400" s="218"/>
      <c r="G400" s="218"/>
      <c r="H400" s="218"/>
      <c r="I400" s="218"/>
      <c r="J400" s="218"/>
      <c r="K400" s="218"/>
      <c r="L400" s="218"/>
      <c r="M400" s="218"/>
      <c r="N400" s="218"/>
      <c r="O400" s="218"/>
      <c r="P400" s="218"/>
      <c r="Q400" s="218"/>
    </row>
    <row r="401">
      <c r="A401" s="218"/>
      <c r="B401" s="218"/>
      <c r="C401" s="218"/>
      <c r="D401" s="218"/>
      <c r="E401" s="218"/>
      <c r="F401" s="218"/>
      <c r="G401" s="218"/>
      <c r="H401" s="218"/>
      <c r="I401" s="218"/>
      <c r="J401" s="218"/>
      <c r="K401" s="218"/>
      <c r="L401" s="218"/>
      <c r="M401" s="218"/>
      <c r="N401" s="218"/>
      <c r="O401" s="218"/>
      <c r="P401" s="218"/>
      <c r="Q401" s="218"/>
    </row>
    <row r="402">
      <c r="A402" s="218"/>
      <c r="B402" s="218"/>
      <c r="C402" s="218"/>
      <c r="D402" s="218"/>
      <c r="E402" s="218"/>
      <c r="F402" s="218"/>
      <c r="G402" s="218"/>
      <c r="H402" s="218"/>
      <c r="I402" s="218"/>
      <c r="J402" s="218"/>
      <c r="K402" s="218"/>
      <c r="L402" s="218"/>
      <c r="M402" s="218"/>
      <c r="N402" s="218"/>
      <c r="O402" s="218"/>
      <c r="P402" s="218"/>
      <c r="Q402" s="218"/>
    </row>
    <row r="403">
      <c r="A403" s="218"/>
      <c r="B403" s="218"/>
      <c r="C403" s="218"/>
      <c r="D403" s="218"/>
      <c r="E403" s="218"/>
      <c r="F403" s="218"/>
      <c r="G403" s="218"/>
      <c r="H403" s="218"/>
      <c r="I403" s="218"/>
      <c r="J403" s="218"/>
      <c r="K403" s="218"/>
      <c r="L403" s="218"/>
      <c r="M403" s="218"/>
      <c r="N403" s="218"/>
      <c r="O403" s="218"/>
      <c r="P403" s="218"/>
      <c r="Q403" s="218"/>
    </row>
    <row r="404">
      <c r="A404" s="218"/>
      <c r="B404" s="218"/>
      <c r="C404" s="218"/>
      <c r="D404" s="218"/>
      <c r="E404" s="218"/>
      <c r="F404" s="218"/>
      <c r="G404" s="218"/>
      <c r="H404" s="218"/>
      <c r="I404" s="218"/>
      <c r="J404" s="218"/>
      <c r="K404" s="218"/>
      <c r="L404" s="218"/>
      <c r="M404" s="218"/>
      <c r="N404" s="218"/>
      <c r="O404" s="218"/>
      <c r="P404" s="218"/>
      <c r="Q404" s="218"/>
    </row>
    <row r="405">
      <c r="A405" s="218"/>
      <c r="B405" s="218"/>
      <c r="C405" s="218"/>
      <c r="D405" s="218"/>
      <c r="E405" s="218"/>
      <c r="F405" s="218"/>
      <c r="G405" s="218"/>
      <c r="H405" s="218"/>
      <c r="I405" s="218"/>
      <c r="J405" s="218"/>
      <c r="K405" s="218"/>
      <c r="L405" s="218"/>
      <c r="M405" s="218"/>
      <c r="N405" s="218"/>
      <c r="O405" s="218"/>
      <c r="P405" s="218"/>
      <c r="Q405" s="218"/>
    </row>
    <row r="406">
      <c r="A406" s="218"/>
      <c r="B406" s="218"/>
      <c r="C406" s="218"/>
      <c r="D406" s="218"/>
      <c r="E406" s="218"/>
      <c r="F406" s="218"/>
      <c r="G406" s="218"/>
      <c r="H406" s="218"/>
      <c r="I406" s="218"/>
      <c r="J406" s="218"/>
      <c r="K406" s="218"/>
      <c r="L406" s="218"/>
      <c r="M406" s="218"/>
      <c r="N406" s="218"/>
      <c r="O406" s="218"/>
      <c r="P406" s="218"/>
      <c r="Q406" s="218"/>
    </row>
    <row r="407">
      <c r="A407" s="218"/>
      <c r="B407" s="218"/>
      <c r="C407" s="218"/>
      <c r="D407" s="218"/>
      <c r="E407" s="218"/>
      <c r="F407" s="218"/>
      <c r="G407" s="218"/>
      <c r="H407" s="218"/>
      <c r="I407" s="218"/>
      <c r="J407" s="218"/>
      <c r="K407" s="218"/>
      <c r="L407" s="218"/>
      <c r="M407" s="218"/>
      <c r="N407" s="218"/>
      <c r="O407" s="218"/>
      <c r="P407" s="218"/>
      <c r="Q407" s="218"/>
    </row>
    <row r="408">
      <c r="A408" s="218"/>
      <c r="B408" s="218"/>
      <c r="C408" s="218"/>
      <c r="D408" s="218"/>
      <c r="E408" s="218"/>
      <c r="F408" s="218"/>
      <c r="G408" s="218"/>
      <c r="H408" s="218"/>
      <c r="I408" s="218"/>
      <c r="J408" s="218"/>
      <c r="K408" s="218"/>
      <c r="L408" s="218"/>
      <c r="M408" s="218"/>
      <c r="N408" s="218"/>
      <c r="O408" s="218"/>
      <c r="P408" s="218"/>
      <c r="Q408" s="218"/>
    </row>
    <row r="409">
      <c r="A409" s="218"/>
      <c r="B409" s="218"/>
      <c r="C409" s="218"/>
      <c r="D409" s="218"/>
      <c r="E409" s="218"/>
      <c r="F409" s="218"/>
      <c r="G409" s="218"/>
      <c r="H409" s="218"/>
      <c r="I409" s="218"/>
      <c r="J409" s="218"/>
      <c r="K409" s="218"/>
      <c r="L409" s="218"/>
      <c r="M409" s="218"/>
      <c r="N409" s="218"/>
      <c r="O409" s="218"/>
      <c r="P409" s="218"/>
      <c r="Q409" s="218"/>
    </row>
    <row r="410">
      <c r="A410" s="218"/>
      <c r="B410" s="218"/>
      <c r="C410" s="218"/>
      <c r="D410" s="218"/>
      <c r="E410" s="218"/>
      <c r="F410" s="218"/>
      <c r="G410" s="218"/>
      <c r="H410" s="218"/>
      <c r="I410" s="218"/>
      <c r="J410" s="218"/>
      <c r="K410" s="218"/>
      <c r="L410" s="218"/>
      <c r="M410" s="218"/>
      <c r="N410" s="218"/>
      <c r="O410" s="218"/>
      <c r="P410" s="218"/>
      <c r="Q410" s="218"/>
    </row>
    <row r="411">
      <c r="A411" s="218"/>
      <c r="B411" s="218"/>
      <c r="C411" s="218"/>
      <c r="D411" s="218"/>
      <c r="E411" s="218"/>
      <c r="F411" s="218"/>
      <c r="G411" s="218"/>
      <c r="H411" s="218"/>
      <c r="I411" s="218"/>
      <c r="J411" s="218"/>
      <c r="K411" s="218"/>
      <c r="L411" s="218"/>
      <c r="M411" s="218"/>
      <c r="N411" s="218"/>
      <c r="O411" s="218"/>
      <c r="P411" s="218"/>
      <c r="Q411" s="218"/>
    </row>
    <row r="412">
      <c r="A412" s="218"/>
      <c r="B412" s="218"/>
      <c r="C412" s="218"/>
      <c r="D412" s="218"/>
      <c r="E412" s="218"/>
      <c r="F412" s="218"/>
      <c r="G412" s="218"/>
      <c r="H412" s="218"/>
      <c r="I412" s="218"/>
      <c r="J412" s="218"/>
      <c r="K412" s="218"/>
      <c r="L412" s="218"/>
      <c r="M412" s="218"/>
      <c r="N412" s="218"/>
      <c r="O412" s="218"/>
      <c r="P412" s="218"/>
      <c r="Q412" s="218"/>
    </row>
    <row r="413">
      <c r="A413" s="218"/>
      <c r="B413" s="218"/>
      <c r="C413" s="218"/>
      <c r="D413" s="218"/>
      <c r="E413" s="218"/>
      <c r="F413" s="218"/>
      <c r="G413" s="218"/>
      <c r="H413" s="218"/>
      <c r="I413" s="218"/>
      <c r="J413" s="218"/>
      <c r="K413" s="218"/>
      <c r="L413" s="218"/>
      <c r="M413" s="218"/>
      <c r="N413" s="218"/>
      <c r="O413" s="218"/>
      <c r="P413" s="218"/>
      <c r="Q413" s="218"/>
    </row>
    <row r="414">
      <c r="A414" s="218"/>
      <c r="B414" s="218"/>
      <c r="C414" s="218"/>
      <c r="D414" s="218"/>
      <c r="E414" s="218"/>
      <c r="F414" s="218"/>
      <c r="G414" s="218"/>
      <c r="H414" s="218"/>
      <c r="I414" s="218"/>
      <c r="J414" s="218"/>
      <c r="K414" s="218"/>
      <c r="L414" s="218"/>
      <c r="M414" s="218"/>
      <c r="N414" s="218"/>
      <c r="O414" s="218"/>
      <c r="P414" s="218"/>
      <c r="Q414" s="218"/>
    </row>
    <row r="415">
      <c r="A415" s="218"/>
      <c r="B415" s="218"/>
      <c r="C415" s="218"/>
      <c r="D415" s="218"/>
      <c r="E415" s="218"/>
      <c r="F415" s="218"/>
      <c r="G415" s="218"/>
      <c r="H415" s="218"/>
      <c r="I415" s="218"/>
      <c r="J415" s="218"/>
      <c r="K415" s="218"/>
      <c r="L415" s="218"/>
      <c r="M415" s="218"/>
      <c r="N415" s="218"/>
      <c r="O415" s="218"/>
      <c r="P415" s="218"/>
      <c r="Q415" s="218"/>
    </row>
    <row r="416">
      <c r="A416" s="218"/>
      <c r="B416" s="218"/>
      <c r="C416" s="218"/>
      <c r="D416" s="218"/>
      <c r="E416" s="218"/>
      <c r="F416" s="218"/>
      <c r="G416" s="218"/>
      <c r="H416" s="218"/>
      <c r="I416" s="218"/>
      <c r="J416" s="218"/>
      <c r="K416" s="218"/>
      <c r="L416" s="218"/>
      <c r="M416" s="218"/>
      <c r="N416" s="218"/>
      <c r="O416" s="218"/>
      <c r="P416" s="218"/>
      <c r="Q416" s="218"/>
    </row>
    <row r="417">
      <c r="A417" s="218"/>
      <c r="B417" s="218"/>
      <c r="C417" s="218"/>
      <c r="D417" s="218"/>
      <c r="E417" s="218"/>
      <c r="F417" s="218"/>
      <c r="G417" s="218"/>
      <c r="H417" s="218"/>
      <c r="I417" s="218"/>
      <c r="J417" s="218"/>
      <c r="K417" s="218"/>
      <c r="L417" s="218"/>
      <c r="M417" s="218"/>
      <c r="N417" s="218"/>
      <c r="O417" s="218"/>
      <c r="P417" s="218"/>
      <c r="Q417" s="218"/>
    </row>
    <row r="418">
      <c r="A418" s="218"/>
      <c r="B418" s="218"/>
      <c r="C418" s="218"/>
      <c r="D418" s="218"/>
      <c r="E418" s="218"/>
      <c r="F418" s="218"/>
      <c r="G418" s="218"/>
      <c r="H418" s="218"/>
      <c r="I418" s="218"/>
      <c r="J418" s="218"/>
      <c r="K418" s="218"/>
      <c r="L418" s="218"/>
      <c r="M418" s="218"/>
      <c r="N418" s="218"/>
      <c r="O418" s="218"/>
      <c r="P418" s="218"/>
      <c r="Q418" s="218"/>
    </row>
    <row r="419">
      <c r="A419" s="218"/>
      <c r="B419" s="218"/>
      <c r="C419" s="218"/>
      <c r="D419" s="218"/>
      <c r="E419" s="218"/>
      <c r="F419" s="218"/>
      <c r="G419" s="218"/>
      <c r="H419" s="218"/>
      <c r="I419" s="218"/>
      <c r="J419" s="218"/>
      <c r="K419" s="218"/>
      <c r="L419" s="218"/>
      <c r="M419" s="218"/>
      <c r="N419" s="218"/>
      <c r="O419" s="218"/>
      <c r="P419" s="218"/>
      <c r="Q419" s="218"/>
    </row>
    <row r="420">
      <c r="A420" s="218"/>
      <c r="B420" s="218"/>
      <c r="C420" s="218"/>
      <c r="D420" s="218"/>
      <c r="E420" s="218"/>
      <c r="F420" s="218"/>
      <c r="G420" s="218"/>
      <c r="H420" s="218"/>
      <c r="I420" s="218"/>
      <c r="J420" s="218"/>
      <c r="K420" s="218"/>
      <c r="L420" s="218"/>
      <c r="M420" s="218"/>
      <c r="N420" s="218"/>
      <c r="O420" s="218"/>
      <c r="P420" s="218"/>
      <c r="Q420" s="218"/>
    </row>
    <row r="421">
      <c r="A421" s="218"/>
      <c r="B421" s="218"/>
      <c r="C421" s="218"/>
      <c r="D421" s="218"/>
      <c r="E421" s="218"/>
      <c r="F421" s="218"/>
      <c r="G421" s="218"/>
      <c r="H421" s="218"/>
      <c r="I421" s="218"/>
      <c r="J421" s="218"/>
      <c r="K421" s="218"/>
      <c r="L421" s="218"/>
      <c r="M421" s="218"/>
      <c r="N421" s="218"/>
      <c r="O421" s="218"/>
      <c r="P421" s="218"/>
      <c r="Q421" s="218"/>
    </row>
    <row r="422">
      <c r="A422" s="218"/>
      <c r="B422" s="218"/>
      <c r="C422" s="218"/>
      <c r="D422" s="218"/>
      <c r="E422" s="218"/>
      <c r="F422" s="218"/>
      <c r="G422" s="218"/>
      <c r="H422" s="218"/>
      <c r="I422" s="218"/>
      <c r="J422" s="218"/>
      <c r="K422" s="218"/>
      <c r="L422" s="218"/>
      <c r="M422" s="218"/>
      <c r="N422" s="218"/>
      <c r="O422" s="218"/>
      <c r="P422" s="218"/>
      <c r="Q422" s="218"/>
    </row>
    <row r="423">
      <c r="A423" s="218"/>
      <c r="B423" s="218"/>
      <c r="C423" s="218"/>
      <c r="D423" s="218"/>
      <c r="E423" s="218"/>
      <c r="F423" s="218"/>
      <c r="G423" s="218"/>
      <c r="H423" s="218"/>
      <c r="I423" s="218"/>
      <c r="J423" s="218"/>
      <c r="K423" s="218"/>
      <c r="L423" s="218"/>
      <c r="M423" s="218"/>
      <c r="N423" s="218"/>
      <c r="O423" s="218"/>
      <c r="P423" s="218"/>
      <c r="Q423" s="218"/>
    </row>
    <row r="424">
      <c r="A424" s="218"/>
      <c r="B424" s="218"/>
      <c r="C424" s="218"/>
      <c r="D424" s="218"/>
      <c r="E424" s="218"/>
      <c r="F424" s="218"/>
      <c r="G424" s="218"/>
      <c r="H424" s="218"/>
      <c r="I424" s="218"/>
      <c r="J424" s="218"/>
      <c r="K424" s="218"/>
      <c r="L424" s="218"/>
      <c r="M424" s="218"/>
      <c r="N424" s="218"/>
      <c r="O424" s="218"/>
      <c r="P424" s="218"/>
      <c r="Q424" s="218"/>
    </row>
    <row r="425">
      <c r="A425" s="218"/>
      <c r="B425" s="218"/>
      <c r="C425" s="218"/>
      <c r="D425" s="218"/>
      <c r="E425" s="218"/>
      <c r="F425" s="218"/>
      <c r="G425" s="218"/>
      <c r="H425" s="218"/>
      <c r="I425" s="218"/>
      <c r="J425" s="218"/>
      <c r="K425" s="218"/>
      <c r="L425" s="218"/>
      <c r="M425" s="218"/>
      <c r="N425" s="218"/>
      <c r="O425" s="218"/>
      <c r="P425" s="218"/>
      <c r="Q425" s="218"/>
    </row>
    <row r="426">
      <c r="A426" s="218"/>
      <c r="B426" s="218"/>
      <c r="C426" s="218"/>
      <c r="D426" s="218"/>
      <c r="E426" s="218"/>
      <c r="F426" s="218"/>
      <c r="G426" s="218"/>
      <c r="H426" s="218"/>
      <c r="I426" s="218"/>
      <c r="J426" s="218"/>
      <c r="K426" s="218"/>
      <c r="L426" s="218"/>
      <c r="M426" s="218"/>
      <c r="N426" s="218"/>
      <c r="O426" s="218"/>
      <c r="P426" s="218"/>
      <c r="Q426" s="218"/>
    </row>
    <row r="427">
      <c r="A427" s="218"/>
      <c r="B427" s="218"/>
      <c r="C427" s="218"/>
      <c r="D427" s="218"/>
      <c r="E427" s="218"/>
      <c r="F427" s="218"/>
      <c r="G427" s="218"/>
      <c r="H427" s="218"/>
      <c r="I427" s="218"/>
      <c r="J427" s="218"/>
      <c r="K427" s="218"/>
      <c r="L427" s="218"/>
      <c r="M427" s="218"/>
      <c r="N427" s="218"/>
      <c r="O427" s="218"/>
      <c r="P427" s="218"/>
      <c r="Q427" s="218"/>
    </row>
    <row r="428">
      <c r="A428" s="218"/>
      <c r="B428" s="218"/>
      <c r="C428" s="218"/>
      <c r="D428" s="218"/>
      <c r="E428" s="218"/>
      <c r="F428" s="218"/>
      <c r="G428" s="218"/>
      <c r="H428" s="218"/>
      <c r="I428" s="218"/>
      <c r="J428" s="218"/>
      <c r="K428" s="218"/>
      <c r="L428" s="218"/>
      <c r="M428" s="218"/>
      <c r="N428" s="218"/>
      <c r="O428" s="218"/>
      <c r="P428" s="218"/>
      <c r="Q428" s="218"/>
    </row>
    <row r="429">
      <c r="A429" s="218"/>
      <c r="B429" s="218"/>
      <c r="C429" s="218"/>
      <c r="D429" s="218"/>
      <c r="E429" s="218"/>
      <c r="F429" s="218"/>
      <c r="G429" s="218"/>
      <c r="H429" s="218"/>
      <c r="I429" s="218"/>
      <c r="J429" s="218"/>
      <c r="K429" s="218"/>
      <c r="L429" s="218"/>
      <c r="M429" s="218"/>
      <c r="N429" s="218"/>
      <c r="O429" s="218"/>
      <c r="P429" s="218"/>
      <c r="Q429" s="218"/>
    </row>
    <row r="430">
      <c r="A430" s="218"/>
      <c r="B430" s="218"/>
      <c r="C430" s="218"/>
      <c r="D430" s="218"/>
      <c r="E430" s="218"/>
      <c r="F430" s="218"/>
      <c r="G430" s="218"/>
      <c r="H430" s="218"/>
      <c r="I430" s="218"/>
      <c r="J430" s="218"/>
      <c r="K430" s="218"/>
      <c r="L430" s="218"/>
      <c r="M430" s="218"/>
      <c r="N430" s="218"/>
      <c r="O430" s="218"/>
      <c r="P430" s="218"/>
      <c r="Q430" s="218"/>
    </row>
    <row r="431">
      <c r="A431" s="218"/>
      <c r="B431" s="218"/>
      <c r="C431" s="218"/>
      <c r="D431" s="218"/>
      <c r="E431" s="218"/>
      <c r="F431" s="218"/>
      <c r="G431" s="218"/>
      <c r="H431" s="218"/>
      <c r="I431" s="218"/>
      <c r="J431" s="218"/>
      <c r="K431" s="218"/>
      <c r="L431" s="218"/>
      <c r="M431" s="218"/>
      <c r="N431" s="218"/>
      <c r="O431" s="218"/>
      <c r="P431" s="218"/>
      <c r="Q431" s="218"/>
    </row>
    <row r="432">
      <c r="A432" s="218"/>
      <c r="B432" s="218"/>
      <c r="C432" s="218"/>
      <c r="D432" s="218"/>
      <c r="E432" s="218"/>
      <c r="F432" s="218"/>
      <c r="G432" s="218"/>
      <c r="H432" s="218"/>
      <c r="I432" s="218"/>
      <c r="J432" s="218"/>
      <c r="K432" s="218"/>
      <c r="L432" s="218"/>
      <c r="M432" s="218"/>
      <c r="N432" s="218"/>
      <c r="O432" s="218"/>
      <c r="P432" s="218"/>
      <c r="Q432" s="218"/>
    </row>
    <row r="433">
      <c r="A433" s="218"/>
      <c r="B433" s="218"/>
      <c r="C433" s="218"/>
      <c r="D433" s="218"/>
      <c r="E433" s="218"/>
      <c r="F433" s="218"/>
      <c r="G433" s="218"/>
      <c r="H433" s="218"/>
      <c r="I433" s="218"/>
      <c r="J433" s="218"/>
      <c r="K433" s="218"/>
      <c r="L433" s="218"/>
      <c r="M433" s="218"/>
      <c r="N433" s="218"/>
      <c r="O433" s="218"/>
      <c r="P433" s="218"/>
      <c r="Q433" s="218"/>
    </row>
    <row r="434">
      <c r="A434" s="218"/>
      <c r="B434" s="218"/>
      <c r="C434" s="218"/>
      <c r="D434" s="218"/>
      <c r="E434" s="218"/>
      <c r="F434" s="218"/>
      <c r="G434" s="218"/>
      <c r="H434" s="218"/>
      <c r="I434" s="218"/>
      <c r="J434" s="218"/>
      <c r="K434" s="218"/>
      <c r="L434" s="218"/>
      <c r="M434" s="218"/>
      <c r="N434" s="218"/>
      <c r="O434" s="218"/>
      <c r="P434" s="218"/>
      <c r="Q434" s="218"/>
    </row>
    <row r="435">
      <c r="A435" s="218"/>
      <c r="B435" s="218"/>
      <c r="C435" s="218"/>
      <c r="D435" s="218"/>
      <c r="E435" s="218"/>
      <c r="F435" s="218"/>
      <c r="G435" s="218"/>
      <c r="H435" s="218"/>
      <c r="I435" s="218"/>
      <c r="J435" s="218"/>
      <c r="K435" s="218"/>
      <c r="L435" s="218"/>
      <c r="M435" s="218"/>
      <c r="N435" s="218"/>
      <c r="O435" s="218"/>
      <c r="P435" s="218"/>
      <c r="Q435" s="218"/>
    </row>
    <row r="436">
      <c r="A436" s="218"/>
      <c r="B436" s="218"/>
      <c r="C436" s="218"/>
      <c r="D436" s="218"/>
      <c r="E436" s="218"/>
      <c r="F436" s="218"/>
      <c r="G436" s="218"/>
      <c r="H436" s="218"/>
      <c r="I436" s="218"/>
      <c r="J436" s="218"/>
      <c r="K436" s="218"/>
      <c r="L436" s="218"/>
      <c r="M436" s="218"/>
      <c r="N436" s="218"/>
      <c r="O436" s="218"/>
      <c r="P436" s="218"/>
      <c r="Q436" s="218"/>
    </row>
    <row r="437">
      <c r="A437" s="218"/>
      <c r="B437" s="218"/>
      <c r="C437" s="218"/>
      <c r="D437" s="218"/>
      <c r="E437" s="218"/>
      <c r="F437" s="218"/>
      <c r="G437" s="218"/>
      <c r="H437" s="218"/>
      <c r="I437" s="218"/>
      <c r="J437" s="218"/>
      <c r="K437" s="218"/>
      <c r="L437" s="218"/>
      <c r="M437" s="218"/>
      <c r="N437" s="218"/>
      <c r="O437" s="218"/>
      <c r="P437" s="218"/>
      <c r="Q437" s="218"/>
    </row>
    <row r="438">
      <c r="A438" s="218"/>
      <c r="B438" s="218"/>
      <c r="C438" s="218"/>
      <c r="D438" s="218"/>
      <c r="E438" s="218"/>
      <c r="F438" s="218"/>
      <c r="G438" s="218"/>
      <c r="H438" s="218"/>
      <c r="I438" s="218"/>
      <c r="J438" s="218"/>
      <c r="K438" s="218"/>
      <c r="L438" s="218"/>
      <c r="M438" s="218"/>
      <c r="N438" s="218"/>
      <c r="O438" s="218"/>
      <c r="P438" s="218"/>
      <c r="Q438" s="218"/>
    </row>
    <row r="439">
      <c r="A439" s="218"/>
      <c r="B439" s="218"/>
      <c r="C439" s="218"/>
      <c r="D439" s="218"/>
      <c r="E439" s="218"/>
      <c r="F439" s="218"/>
      <c r="G439" s="218"/>
      <c r="H439" s="218"/>
      <c r="I439" s="218"/>
      <c r="J439" s="218"/>
      <c r="K439" s="218"/>
      <c r="L439" s="218"/>
      <c r="M439" s="218"/>
      <c r="N439" s="218"/>
      <c r="O439" s="218"/>
      <c r="P439" s="218"/>
      <c r="Q439" s="218"/>
    </row>
    <row r="440">
      <c r="A440" s="218"/>
      <c r="B440" s="218"/>
      <c r="C440" s="218"/>
      <c r="D440" s="218"/>
      <c r="E440" s="218"/>
      <c r="F440" s="218"/>
      <c r="G440" s="218"/>
      <c r="H440" s="218"/>
      <c r="I440" s="218"/>
      <c r="J440" s="218"/>
      <c r="K440" s="218"/>
      <c r="L440" s="218"/>
      <c r="M440" s="218"/>
      <c r="N440" s="218"/>
      <c r="O440" s="218"/>
      <c r="P440" s="218"/>
      <c r="Q440" s="218"/>
    </row>
    <row r="441">
      <c r="A441" s="218"/>
      <c r="B441" s="218"/>
      <c r="C441" s="218"/>
      <c r="D441" s="218"/>
      <c r="E441" s="218"/>
      <c r="F441" s="218"/>
      <c r="G441" s="218"/>
      <c r="H441" s="218"/>
      <c r="I441" s="218"/>
      <c r="J441" s="218"/>
      <c r="K441" s="218"/>
      <c r="L441" s="218"/>
      <c r="M441" s="218"/>
      <c r="N441" s="218"/>
      <c r="O441" s="218"/>
      <c r="P441" s="218"/>
      <c r="Q441" s="218"/>
    </row>
    <row r="442">
      <c r="A442" s="218"/>
      <c r="B442" s="218"/>
      <c r="C442" s="218"/>
      <c r="D442" s="218"/>
      <c r="E442" s="218"/>
      <c r="F442" s="218"/>
      <c r="G442" s="218"/>
      <c r="H442" s="218"/>
      <c r="I442" s="218"/>
      <c r="J442" s="218"/>
      <c r="K442" s="218"/>
      <c r="L442" s="218"/>
      <c r="M442" s="218"/>
      <c r="N442" s="218"/>
      <c r="O442" s="218"/>
      <c r="P442" s="218"/>
      <c r="Q442" s="218"/>
    </row>
    <row r="443">
      <c r="A443" s="218"/>
      <c r="B443" s="218"/>
      <c r="C443" s="218"/>
      <c r="D443" s="218"/>
      <c r="E443" s="218"/>
      <c r="F443" s="218"/>
      <c r="G443" s="218"/>
      <c r="H443" s="218"/>
      <c r="I443" s="218"/>
      <c r="J443" s="218"/>
      <c r="K443" s="218"/>
      <c r="L443" s="218"/>
      <c r="M443" s="218"/>
      <c r="N443" s="218"/>
      <c r="O443" s="218"/>
      <c r="P443" s="218"/>
      <c r="Q443" s="218"/>
    </row>
    <row r="444">
      <c r="A444" s="218"/>
      <c r="B444" s="218"/>
      <c r="C444" s="218"/>
      <c r="D444" s="218"/>
      <c r="E444" s="218"/>
      <c r="F444" s="218"/>
      <c r="G444" s="218"/>
      <c r="H444" s="218"/>
      <c r="I444" s="218"/>
      <c r="J444" s="218"/>
      <c r="K444" s="218"/>
      <c r="L444" s="218"/>
      <c r="M444" s="218"/>
      <c r="N444" s="218"/>
      <c r="O444" s="218"/>
      <c r="P444" s="218"/>
      <c r="Q444" s="218"/>
    </row>
    <row r="445">
      <c r="A445" s="218"/>
      <c r="B445" s="218"/>
      <c r="C445" s="218"/>
      <c r="D445" s="218"/>
      <c r="E445" s="218"/>
      <c r="F445" s="218"/>
      <c r="G445" s="218"/>
      <c r="H445" s="218"/>
      <c r="I445" s="218"/>
      <c r="J445" s="218"/>
      <c r="K445" s="218"/>
      <c r="L445" s="218"/>
      <c r="M445" s="218"/>
      <c r="N445" s="218"/>
      <c r="O445" s="218"/>
      <c r="P445" s="218"/>
      <c r="Q445" s="218"/>
    </row>
    <row r="446">
      <c r="A446" s="218"/>
      <c r="B446" s="218"/>
      <c r="C446" s="218"/>
      <c r="D446" s="218"/>
      <c r="E446" s="218"/>
      <c r="F446" s="218"/>
      <c r="G446" s="218"/>
      <c r="H446" s="218"/>
      <c r="I446" s="218"/>
      <c r="J446" s="218"/>
      <c r="K446" s="218"/>
      <c r="L446" s="218"/>
      <c r="M446" s="218"/>
      <c r="N446" s="218"/>
      <c r="O446" s="218"/>
      <c r="P446" s="218"/>
      <c r="Q446" s="218"/>
    </row>
    <row r="447">
      <c r="A447" s="218"/>
      <c r="B447" s="218"/>
      <c r="C447" s="218"/>
      <c r="D447" s="218"/>
      <c r="E447" s="218"/>
      <c r="F447" s="218"/>
      <c r="G447" s="218"/>
      <c r="H447" s="218"/>
      <c r="I447" s="218"/>
      <c r="J447" s="218"/>
      <c r="K447" s="218"/>
      <c r="L447" s="218"/>
      <c r="M447" s="218"/>
      <c r="N447" s="218"/>
      <c r="O447" s="218"/>
      <c r="P447" s="218"/>
      <c r="Q447" s="218"/>
    </row>
    <row r="448">
      <c r="A448" s="218"/>
      <c r="B448" s="218"/>
      <c r="C448" s="218"/>
      <c r="D448" s="218"/>
      <c r="E448" s="218"/>
      <c r="F448" s="218"/>
      <c r="G448" s="218"/>
      <c r="H448" s="218"/>
      <c r="I448" s="218"/>
      <c r="J448" s="218"/>
      <c r="K448" s="218"/>
      <c r="L448" s="218"/>
      <c r="M448" s="218"/>
      <c r="N448" s="218"/>
      <c r="O448" s="218"/>
      <c r="P448" s="218"/>
      <c r="Q448" s="218"/>
    </row>
    <row r="449">
      <c r="A449" s="218"/>
      <c r="B449" s="218"/>
      <c r="C449" s="218"/>
      <c r="D449" s="218"/>
      <c r="E449" s="218"/>
      <c r="F449" s="218"/>
      <c r="G449" s="218"/>
      <c r="H449" s="218"/>
      <c r="I449" s="218"/>
      <c r="J449" s="218"/>
      <c r="K449" s="218"/>
      <c r="L449" s="218"/>
      <c r="M449" s="218"/>
      <c r="N449" s="218"/>
      <c r="O449" s="218"/>
      <c r="P449" s="218"/>
      <c r="Q449" s="218"/>
    </row>
    <row r="450">
      <c r="A450" s="218"/>
      <c r="B450" s="218"/>
      <c r="C450" s="218"/>
      <c r="D450" s="218"/>
      <c r="E450" s="218"/>
      <c r="F450" s="218"/>
      <c r="G450" s="218"/>
      <c r="H450" s="218"/>
      <c r="I450" s="218"/>
      <c r="J450" s="218"/>
      <c r="K450" s="218"/>
      <c r="L450" s="218"/>
      <c r="M450" s="218"/>
      <c r="N450" s="218"/>
      <c r="O450" s="218"/>
      <c r="P450" s="218"/>
      <c r="Q450" s="218"/>
    </row>
    <row r="451">
      <c r="A451" s="218"/>
      <c r="B451" s="218"/>
      <c r="C451" s="218"/>
      <c r="D451" s="218"/>
      <c r="E451" s="218"/>
      <c r="F451" s="218"/>
      <c r="G451" s="218"/>
      <c r="H451" s="218"/>
      <c r="I451" s="218"/>
      <c r="J451" s="218"/>
      <c r="K451" s="218"/>
      <c r="L451" s="218"/>
      <c r="M451" s="218"/>
      <c r="N451" s="218"/>
      <c r="O451" s="218"/>
      <c r="P451" s="218"/>
      <c r="Q451" s="218"/>
    </row>
    <row r="452">
      <c r="A452" s="218"/>
      <c r="B452" s="218"/>
      <c r="C452" s="218"/>
      <c r="D452" s="218"/>
      <c r="E452" s="218"/>
      <c r="F452" s="218"/>
      <c r="G452" s="218"/>
      <c r="H452" s="218"/>
      <c r="I452" s="218"/>
      <c r="J452" s="218"/>
      <c r="K452" s="218"/>
      <c r="L452" s="218"/>
      <c r="M452" s="218"/>
      <c r="N452" s="218"/>
      <c r="O452" s="218"/>
      <c r="P452" s="218"/>
      <c r="Q452" s="218"/>
    </row>
    <row r="453">
      <c r="A453" s="218"/>
      <c r="B453" s="218"/>
      <c r="C453" s="218"/>
      <c r="D453" s="218"/>
      <c r="E453" s="218"/>
      <c r="F453" s="218"/>
      <c r="G453" s="218"/>
      <c r="H453" s="218"/>
      <c r="I453" s="218"/>
      <c r="J453" s="218"/>
      <c r="K453" s="218"/>
      <c r="L453" s="218"/>
      <c r="M453" s="218"/>
      <c r="N453" s="218"/>
      <c r="O453" s="218"/>
      <c r="P453" s="218"/>
      <c r="Q453" s="218"/>
    </row>
    <row r="454">
      <c r="A454" s="218"/>
      <c r="B454" s="218"/>
      <c r="C454" s="218"/>
      <c r="D454" s="218"/>
      <c r="E454" s="218"/>
      <c r="F454" s="218"/>
      <c r="G454" s="218"/>
      <c r="H454" s="218"/>
      <c r="I454" s="218"/>
      <c r="J454" s="218"/>
      <c r="K454" s="218"/>
      <c r="L454" s="218"/>
      <c r="M454" s="218"/>
      <c r="N454" s="218"/>
      <c r="O454" s="218"/>
      <c r="P454" s="218"/>
      <c r="Q454" s="218"/>
    </row>
    <row r="455">
      <c r="A455" s="218"/>
      <c r="B455" s="218"/>
      <c r="C455" s="218"/>
      <c r="D455" s="218"/>
      <c r="E455" s="218"/>
      <c r="F455" s="218"/>
      <c r="G455" s="218"/>
      <c r="H455" s="218"/>
      <c r="I455" s="218"/>
      <c r="J455" s="218"/>
      <c r="K455" s="218"/>
      <c r="L455" s="218"/>
      <c r="M455" s="218"/>
      <c r="N455" s="218"/>
      <c r="O455" s="218"/>
      <c r="P455" s="218"/>
      <c r="Q455" s="218"/>
    </row>
    <row r="456">
      <c r="A456" s="218"/>
      <c r="B456" s="218"/>
      <c r="C456" s="218"/>
      <c r="D456" s="218"/>
      <c r="E456" s="218"/>
      <c r="F456" s="218"/>
      <c r="G456" s="218"/>
      <c r="H456" s="218"/>
      <c r="I456" s="218"/>
      <c r="J456" s="218"/>
      <c r="K456" s="218"/>
      <c r="L456" s="218"/>
      <c r="M456" s="218"/>
      <c r="N456" s="218"/>
      <c r="O456" s="218"/>
      <c r="P456" s="218"/>
      <c r="Q456" s="218"/>
    </row>
    <row r="457">
      <c r="A457" s="218"/>
      <c r="B457" s="218"/>
      <c r="C457" s="218"/>
      <c r="D457" s="218"/>
      <c r="E457" s="218"/>
      <c r="F457" s="218"/>
      <c r="G457" s="218"/>
      <c r="H457" s="218"/>
      <c r="I457" s="218"/>
      <c r="J457" s="218"/>
      <c r="K457" s="218"/>
      <c r="L457" s="218"/>
      <c r="M457" s="218"/>
      <c r="N457" s="218"/>
      <c r="O457" s="218"/>
      <c r="P457" s="218"/>
      <c r="Q457" s="218"/>
    </row>
    <row r="458">
      <c r="A458" s="218"/>
      <c r="B458" s="218"/>
      <c r="C458" s="218"/>
      <c r="D458" s="218"/>
      <c r="E458" s="218"/>
      <c r="F458" s="218"/>
      <c r="G458" s="218"/>
      <c r="H458" s="218"/>
      <c r="I458" s="218"/>
      <c r="J458" s="218"/>
      <c r="K458" s="218"/>
      <c r="L458" s="218"/>
      <c r="M458" s="218"/>
      <c r="N458" s="218"/>
      <c r="O458" s="218"/>
      <c r="P458" s="218"/>
      <c r="Q458" s="218"/>
    </row>
    <row r="459">
      <c r="A459" s="218"/>
      <c r="B459" s="218"/>
      <c r="C459" s="218"/>
      <c r="D459" s="218"/>
      <c r="E459" s="218"/>
      <c r="F459" s="218"/>
      <c r="G459" s="218"/>
      <c r="H459" s="218"/>
      <c r="I459" s="218"/>
      <c r="J459" s="218"/>
      <c r="K459" s="218"/>
      <c r="L459" s="218"/>
      <c r="M459" s="218"/>
      <c r="N459" s="218"/>
      <c r="O459" s="218"/>
      <c r="P459" s="218"/>
      <c r="Q459" s="218"/>
    </row>
    <row r="460">
      <c r="A460" s="218"/>
      <c r="B460" s="218"/>
      <c r="C460" s="218"/>
      <c r="D460" s="218"/>
      <c r="E460" s="218"/>
      <c r="F460" s="218"/>
      <c r="G460" s="218"/>
      <c r="H460" s="218"/>
      <c r="I460" s="218"/>
      <c r="J460" s="218"/>
      <c r="K460" s="218"/>
      <c r="L460" s="218"/>
      <c r="M460" s="218"/>
      <c r="N460" s="218"/>
      <c r="O460" s="218"/>
      <c r="P460" s="218"/>
      <c r="Q460" s="218"/>
    </row>
    <row r="461">
      <c r="A461" s="218"/>
      <c r="B461" s="218"/>
      <c r="C461" s="218"/>
      <c r="D461" s="218"/>
      <c r="E461" s="218"/>
      <c r="F461" s="218"/>
      <c r="G461" s="218"/>
      <c r="H461" s="218"/>
      <c r="I461" s="218"/>
      <c r="J461" s="218"/>
      <c r="K461" s="218"/>
      <c r="L461" s="218"/>
      <c r="M461" s="218"/>
      <c r="N461" s="218"/>
      <c r="O461" s="218"/>
      <c r="P461" s="218"/>
      <c r="Q461" s="218"/>
    </row>
    <row r="462">
      <c r="A462" s="218"/>
      <c r="B462" s="218"/>
      <c r="C462" s="218"/>
      <c r="D462" s="218"/>
      <c r="E462" s="218"/>
      <c r="F462" s="218"/>
      <c r="G462" s="218"/>
      <c r="H462" s="218"/>
      <c r="I462" s="218"/>
      <c r="J462" s="218"/>
      <c r="K462" s="218"/>
      <c r="L462" s="218"/>
      <c r="M462" s="218"/>
      <c r="N462" s="218"/>
      <c r="O462" s="218"/>
      <c r="P462" s="218"/>
      <c r="Q462" s="218"/>
    </row>
    <row r="463">
      <c r="A463" s="218"/>
      <c r="B463" s="218"/>
      <c r="C463" s="218"/>
      <c r="D463" s="218"/>
      <c r="E463" s="218"/>
      <c r="F463" s="218"/>
      <c r="G463" s="218"/>
      <c r="H463" s="218"/>
      <c r="I463" s="218"/>
      <c r="J463" s="218"/>
      <c r="K463" s="218"/>
      <c r="L463" s="218"/>
      <c r="M463" s="218"/>
      <c r="N463" s="218"/>
      <c r="O463" s="218"/>
      <c r="P463" s="218"/>
      <c r="Q463" s="218"/>
    </row>
    <row r="464">
      <c r="A464" s="218"/>
      <c r="B464" s="218"/>
      <c r="C464" s="218"/>
      <c r="D464" s="218"/>
      <c r="E464" s="218"/>
      <c r="F464" s="218"/>
      <c r="G464" s="218"/>
      <c r="H464" s="218"/>
      <c r="I464" s="218"/>
      <c r="J464" s="218"/>
      <c r="K464" s="218"/>
      <c r="L464" s="218"/>
      <c r="M464" s="218"/>
      <c r="N464" s="218"/>
      <c r="O464" s="218"/>
      <c r="P464" s="218"/>
      <c r="Q464" s="218"/>
    </row>
    <row r="465">
      <c r="A465" s="218"/>
      <c r="B465" s="218"/>
      <c r="C465" s="218"/>
      <c r="D465" s="218"/>
      <c r="E465" s="218"/>
      <c r="F465" s="218"/>
      <c r="G465" s="218"/>
      <c r="H465" s="218"/>
      <c r="I465" s="218"/>
      <c r="J465" s="218"/>
      <c r="K465" s="218"/>
      <c r="L465" s="218"/>
      <c r="M465" s="218"/>
      <c r="N465" s="218"/>
      <c r="O465" s="218"/>
      <c r="P465" s="218"/>
      <c r="Q465" s="218"/>
    </row>
    <row r="466">
      <c r="A466" s="218"/>
      <c r="B466" s="218"/>
      <c r="C466" s="218"/>
      <c r="D466" s="218"/>
      <c r="E466" s="218"/>
      <c r="F466" s="218"/>
      <c r="G466" s="218"/>
      <c r="H466" s="218"/>
      <c r="I466" s="218"/>
      <c r="J466" s="218"/>
      <c r="K466" s="218"/>
      <c r="L466" s="218"/>
      <c r="M466" s="218"/>
      <c r="N466" s="218"/>
      <c r="O466" s="218"/>
      <c r="P466" s="218"/>
      <c r="Q466" s="218"/>
    </row>
    <row r="467">
      <c r="A467" s="218"/>
      <c r="B467" s="218"/>
      <c r="C467" s="218"/>
      <c r="D467" s="218"/>
      <c r="E467" s="218"/>
      <c r="F467" s="218"/>
      <c r="G467" s="218"/>
      <c r="H467" s="218"/>
      <c r="I467" s="218"/>
      <c r="J467" s="218"/>
      <c r="K467" s="218"/>
      <c r="L467" s="218"/>
      <c r="M467" s="218"/>
      <c r="N467" s="218"/>
      <c r="O467" s="218"/>
      <c r="P467" s="218"/>
      <c r="Q467" s="218"/>
    </row>
    <row r="468">
      <c r="A468" s="218"/>
      <c r="B468" s="218"/>
      <c r="C468" s="218"/>
      <c r="D468" s="218"/>
      <c r="E468" s="218"/>
      <c r="F468" s="218"/>
      <c r="G468" s="218"/>
      <c r="H468" s="218"/>
      <c r="I468" s="218"/>
      <c r="J468" s="218"/>
      <c r="K468" s="218"/>
      <c r="L468" s="218"/>
      <c r="M468" s="218"/>
      <c r="N468" s="218"/>
      <c r="O468" s="218"/>
      <c r="P468" s="218"/>
      <c r="Q468" s="218"/>
    </row>
    <row r="469">
      <c r="A469" s="218"/>
      <c r="B469" s="218"/>
      <c r="C469" s="218"/>
      <c r="D469" s="218"/>
      <c r="E469" s="218"/>
      <c r="F469" s="218"/>
      <c r="G469" s="218"/>
      <c r="H469" s="218"/>
      <c r="I469" s="218"/>
      <c r="J469" s="218"/>
      <c r="K469" s="218"/>
      <c r="L469" s="218"/>
      <c r="M469" s="218"/>
      <c r="N469" s="218"/>
      <c r="O469" s="218"/>
      <c r="P469" s="218"/>
      <c r="Q469" s="218"/>
    </row>
    <row r="470">
      <c r="A470" s="218"/>
      <c r="B470" s="218"/>
      <c r="C470" s="218"/>
      <c r="D470" s="218"/>
      <c r="E470" s="218"/>
      <c r="F470" s="218"/>
      <c r="G470" s="218"/>
      <c r="H470" s="218"/>
      <c r="I470" s="218"/>
      <c r="J470" s="218"/>
      <c r="K470" s="218"/>
      <c r="L470" s="218"/>
      <c r="M470" s="218"/>
      <c r="N470" s="218"/>
      <c r="O470" s="218"/>
      <c r="P470" s="218"/>
      <c r="Q470" s="218"/>
    </row>
    <row r="471">
      <c r="A471" s="218"/>
      <c r="B471" s="218"/>
      <c r="C471" s="218"/>
      <c r="D471" s="218"/>
      <c r="E471" s="218"/>
      <c r="F471" s="218"/>
      <c r="G471" s="218"/>
      <c r="H471" s="218"/>
      <c r="I471" s="218"/>
      <c r="J471" s="218"/>
      <c r="K471" s="218"/>
      <c r="L471" s="218"/>
      <c r="M471" s="218"/>
      <c r="N471" s="218"/>
      <c r="O471" s="218"/>
      <c r="P471" s="218"/>
      <c r="Q471" s="218"/>
    </row>
    <row r="472">
      <c r="A472" s="218"/>
      <c r="B472" s="218"/>
      <c r="C472" s="218"/>
      <c r="D472" s="218"/>
      <c r="E472" s="218"/>
      <c r="F472" s="218"/>
      <c r="G472" s="218"/>
      <c r="H472" s="218"/>
      <c r="I472" s="218"/>
      <c r="J472" s="218"/>
      <c r="K472" s="218"/>
      <c r="L472" s="218"/>
      <c r="M472" s="218"/>
      <c r="N472" s="218"/>
      <c r="O472" s="218"/>
      <c r="P472" s="218"/>
      <c r="Q472" s="218"/>
    </row>
    <row r="473">
      <c r="A473" s="218"/>
      <c r="B473" s="218"/>
      <c r="C473" s="218"/>
      <c r="D473" s="218"/>
      <c r="E473" s="218"/>
      <c r="F473" s="218"/>
      <c r="G473" s="218"/>
      <c r="H473" s="218"/>
      <c r="I473" s="218"/>
      <c r="J473" s="218"/>
      <c r="K473" s="218"/>
      <c r="L473" s="218"/>
      <c r="M473" s="218"/>
      <c r="N473" s="218"/>
      <c r="O473" s="218"/>
      <c r="P473" s="218"/>
      <c r="Q473" s="218"/>
    </row>
    <row r="474">
      <c r="A474" s="218"/>
      <c r="B474" s="218"/>
      <c r="C474" s="218"/>
      <c r="D474" s="218"/>
      <c r="E474" s="218"/>
      <c r="F474" s="218"/>
      <c r="G474" s="218"/>
      <c r="H474" s="218"/>
      <c r="I474" s="218"/>
      <c r="J474" s="218"/>
      <c r="K474" s="218"/>
      <c r="L474" s="218"/>
      <c r="M474" s="218"/>
      <c r="N474" s="218"/>
      <c r="O474" s="218"/>
      <c r="P474" s="218"/>
      <c r="Q474" s="218"/>
    </row>
    <row r="475">
      <c r="A475" s="218"/>
      <c r="B475" s="218"/>
      <c r="C475" s="218"/>
      <c r="D475" s="218"/>
      <c r="E475" s="218"/>
      <c r="F475" s="218"/>
      <c r="G475" s="218"/>
      <c r="H475" s="218"/>
      <c r="I475" s="218"/>
      <c r="J475" s="218"/>
      <c r="K475" s="218"/>
      <c r="L475" s="218"/>
      <c r="M475" s="218"/>
      <c r="N475" s="218"/>
      <c r="O475" s="218"/>
      <c r="P475" s="218"/>
      <c r="Q475" s="218"/>
    </row>
    <row r="476">
      <c r="A476" s="218"/>
      <c r="B476" s="218"/>
      <c r="C476" s="218"/>
      <c r="D476" s="218"/>
      <c r="E476" s="218"/>
      <c r="F476" s="218"/>
      <c r="G476" s="218"/>
      <c r="H476" s="218"/>
      <c r="I476" s="218"/>
      <c r="J476" s="218"/>
      <c r="K476" s="218"/>
      <c r="L476" s="218"/>
      <c r="M476" s="218"/>
      <c r="N476" s="218"/>
      <c r="O476" s="218"/>
      <c r="P476" s="218"/>
      <c r="Q476" s="218"/>
    </row>
    <row r="477">
      <c r="A477" s="218"/>
      <c r="B477" s="218"/>
      <c r="C477" s="218"/>
      <c r="D477" s="218"/>
      <c r="E477" s="218"/>
      <c r="F477" s="218"/>
      <c r="G477" s="218"/>
      <c r="H477" s="218"/>
      <c r="I477" s="218"/>
      <c r="J477" s="218"/>
      <c r="K477" s="218"/>
      <c r="L477" s="218"/>
      <c r="M477" s="218"/>
      <c r="N477" s="218"/>
      <c r="O477" s="218"/>
      <c r="P477" s="218"/>
      <c r="Q477" s="218"/>
    </row>
    <row r="478">
      <c r="A478" s="218"/>
      <c r="B478" s="218"/>
      <c r="C478" s="218"/>
      <c r="D478" s="218"/>
      <c r="E478" s="218"/>
      <c r="F478" s="218"/>
      <c r="G478" s="218"/>
      <c r="H478" s="218"/>
      <c r="I478" s="218"/>
      <c r="J478" s="218"/>
      <c r="K478" s="218"/>
      <c r="L478" s="218"/>
      <c r="M478" s="218"/>
      <c r="N478" s="218"/>
      <c r="O478" s="218"/>
      <c r="P478" s="218"/>
      <c r="Q478" s="218"/>
    </row>
    <row r="479">
      <c r="A479" s="218"/>
      <c r="B479" s="218"/>
      <c r="C479" s="218"/>
      <c r="D479" s="218"/>
      <c r="E479" s="218"/>
      <c r="F479" s="218"/>
      <c r="G479" s="218"/>
      <c r="H479" s="218"/>
      <c r="I479" s="218"/>
      <c r="J479" s="218"/>
      <c r="K479" s="218"/>
      <c r="L479" s="218"/>
      <c r="M479" s="218"/>
      <c r="N479" s="218"/>
      <c r="O479" s="218"/>
      <c r="P479" s="218"/>
      <c r="Q479" s="218"/>
    </row>
    <row r="480">
      <c r="A480" s="218"/>
      <c r="B480" s="218"/>
      <c r="C480" s="218"/>
      <c r="D480" s="218"/>
      <c r="E480" s="218"/>
      <c r="F480" s="218"/>
      <c r="G480" s="218"/>
      <c r="H480" s="218"/>
      <c r="I480" s="218"/>
      <c r="J480" s="218"/>
      <c r="K480" s="218"/>
      <c r="L480" s="218"/>
      <c r="M480" s="218"/>
      <c r="N480" s="218"/>
      <c r="O480" s="218"/>
      <c r="P480" s="218"/>
      <c r="Q480" s="218"/>
    </row>
    <row r="481">
      <c r="A481" s="218"/>
      <c r="B481" s="218"/>
      <c r="C481" s="218"/>
      <c r="D481" s="218"/>
      <c r="E481" s="218"/>
      <c r="F481" s="218"/>
      <c r="G481" s="218"/>
      <c r="H481" s="218"/>
      <c r="I481" s="218"/>
      <c r="J481" s="218"/>
      <c r="K481" s="218"/>
      <c r="L481" s="218"/>
      <c r="M481" s="218"/>
      <c r="N481" s="218"/>
      <c r="O481" s="218"/>
      <c r="P481" s="218"/>
      <c r="Q481" s="218"/>
    </row>
    <row r="482">
      <c r="A482" s="218"/>
      <c r="B482" s="218"/>
      <c r="C482" s="218"/>
      <c r="D482" s="218"/>
      <c r="E482" s="218"/>
      <c r="F482" s="218"/>
      <c r="G482" s="218"/>
      <c r="H482" s="218"/>
      <c r="I482" s="218"/>
      <c r="J482" s="218"/>
      <c r="K482" s="218"/>
      <c r="L482" s="218"/>
      <c r="M482" s="218"/>
      <c r="N482" s="218"/>
      <c r="O482" s="218"/>
      <c r="P482" s="218"/>
      <c r="Q482" s="218"/>
    </row>
    <row r="483">
      <c r="A483" s="218"/>
      <c r="B483" s="218"/>
      <c r="C483" s="218"/>
      <c r="D483" s="218"/>
      <c r="E483" s="218"/>
      <c r="F483" s="218"/>
      <c r="G483" s="218"/>
      <c r="H483" s="218"/>
      <c r="I483" s="218"/>
      <c r="J483" s="218"/>
      <c r="K483" s="218"/>
      <c r="L483" s="218"/>
      <c r="M483" s="218"/>
      <c r="N483" s="218"/>
      <c r="O483" s="218"/>
      <c r="P483" s="218"/>
      <c r="Q483" s="218"/>
    </row>
    <row r="484">
      <c r="A484" s="218"/>
      <c r="B484" s="218"/>
      <c r="C484" s="218"/>
      <c r="D484" s="218"/>
      <c r="E484" s="218"/>
      <c r="F484" s="218"/>
      <c r="G484" s="218"/>
      <c r="H484" s="218"/>
      <c r="I484" s="218"/>
      <c r="J484" s="218"/>
      <c r="K484" s="218"/>
      <c r="L484" s="218"/>
      <c r="M484" s="218"/>
      <c r="N484" s="218"/>
      <c r="O484" s="218"/>
      <c r="P484" s="218"/>
      <c r="Q484" s="218"/>
    </row>
    <row r="485">
      <c r="A485" s="218"/>
      <c r="B485" s="218"/>
      <c r="C485" s="218"/>
      <c r="D485" s="218"/>
      <c r="E485" s="218"/>
      <c r="F485" s="218"/>
      <c r="G485" s="218"/>
      <c r="H485" s="218"/>
      <c r="I485" s="218"/>
      <c r="J485" s="218"/>
      <c r="K485" s="218"/>
      <c r="L485" s="218"/>
      <c r="M485" s="218"/>
      <c r="N485" s="218"/>
      <c r="O485" s="218"/>
      <c r="P485" s="218"/>
      <c r="Q485" s="218"/>
    </row>
    <row r="486">
      <c r="A486" s="218"/>
      <c r="B486" s="218"/>
      <c r="C486" s="218"/>
      <c r="D486" s="218"/>
      <c r="E486" s="218"/>
      <c r="F486" s="218"/>
      <c r="G486" s="218"/>
      <c r="H486" s="218"/>
      <c r="I486" s="218"/>
      <c r="J486" s="218"/>
      <c r="K486" s="218"/>
      <c r="L486" s="218"/>
      <c r="M486" s="218"/>
      <c r="N486" s="218"/>
      <c r="O486" s="218"/>
      <c r="P486" s="218"/>
      <c r="Q486" s="218"/>
    </row>
    <row r="487">
      <c r="A487" s="218"/>
      <c r="B487" s="218"/>
      <c r="C487" s="218"/>
      <c r="D487" s="218"/>
      <c r="E487" s="218"/>
      <c r="F487" s="218"/>
      <c r="G487" s="218"/>
      <c r="H487" s="218"/>
      <c r="I487" s="218"/>
      <c r="J487" s="218"/>
      <c r="K487" s="218"/>
      <c r="L487" s="218"/>
      <c r="M487" s="218"/>
      <c r="N487" s="218"/>
      <c r="O487" s="218"/>
      <c r="P487" s="218"/>
      <c r="Q487" s="218"/>
    </row>
    <row r="488">
      <c r="A488" s="218"/>
      <c r="B488" s="218"/>
      <c r="C488" s="218"/>
      <c r="D488" s="218"/>
      <c r="E488" s="218"/>
      <c r="F488" s="218"/>
      <c r="G488" s="218"/>
      <c r="H488" s="218"/>
      <c r="I488" s="218"/>
      <c r="J488" s="218"/>
      <c r="K488" s="218"/>
      <c r="L488" s="218"/>
      <c r="M488" s="218"/>
      <c r="N488" s="218"/>
      <c r="O488" s="218"/>
      <c r="P488" s="218"/>
      <c r="Q488" s="218"/>
    </row>
    <row r="489">
      <c r="A489" s="218"/>
      <c r="B489" s="218"/>
      <c r="C489" s="218"/>
      <c r="D489" s="218"/>
      <c r="E489" s="218"/>
      <c r="F489" s="218"/>
      <c r="G489" s="218"/>
      <c r="H489" s="218"/>
      <c r="I489" s="218"/>
      <c r="J489" s="218"/>
      <c r="K489" s="218"/>
      <c r="L489" s="218"/>
      <c r="M489" s="218"/>
      <c r="N489" s="218"/>
      <c r="O489" s="218"/>
      <c r="P489" s="218"/>
      <c r="Q489" s="218"/>
    </row>
    <row r="490">
      <c r="A490" s="218"/>
      <c r="B490" s="218"/>
      <c r="C490" s="218"/>
      <c r="D490" s="218"/>
      <c r="E490" s="218"/>
      <c r="F490" s="218"/>
      <c r="G490" s="218"/>
      <c r="H490" s="218"/>
      <c r="I490" s="218"/>
      <c r="J490" s="218"/>
      <c r="K490" s="218"/>
      <c r="L490" s="218"/>
      <c r="M490" s="218"/>
      <c r="N490" s="218"/>
      <c r="O490" s="218"/>
      <c r="P490" s="218"/>
      <c r="Q490" s="218"/>
    </row>
    <row r="491">
      <c r="A491" s="218"/>
      <c r="B491" s="218"/>
      <c r="C491" s="218"/>
      <c r="D491" s="218"/>
      <c r="E491" s="218"/>
      <c r="F491" s="218"/>
      <c r="G491" s="218"/>
      <c r="H491" s="218"/>
      <c r="I491" s="218"/>
      <c r="J491" s="218"/>
      <c r="K491" s="218"/>
      <c r="L491" s="218"/>
      <c r="M491" s="218"/>
      <c r="N491" s="218"/>
      <c r="O491" s="218"/>
      <c r="P491" s="218"/>
      <c r="Q491" s="218"/>
    </row>
    <row r="492">
      <c r="A492" s="218"/>
      <c r="B492" s="218"/>
      <c r="C492" s="218"/>
      <c r="D492" s="218"/>
      <c r="E492" s="218"/>
      <c r="F492" s="218"/>
      <c r="G492" s="218"/>
      <c r="H492" s="218"/>
      <c r="I492" s="218"/>
      <c r="J492" s="218"/>
      <c r="K492" s="218"/>
      <c r="L492" s="218"/>
      <c r="M492" s="218"/>
      <c r="N492" s="218"/>
      <c r="O492" s="218"/>
      <c r="P492" s="218"/>
      <c r="Q492" s="218"/>
    </row>
    <row r="493">
      <c r="A493" s="218"/>
      <c r="B493" s="218"/>
      <c r="C493" s="218"/>
      <c r="D493" s="218"/>
      <c r="E493" s="218"/>
      <c r="F493" s="218"/>
      <c r="G493" s="218"/>
      <c r="H493" s="218"/>
      <c r="I493" s="218"/>
      <c r="J493" s="218"/>
      <c r="K493" s="218"/>
      <c r="L493" s="218"/>
      <c r="M493" s="218"/>
      <c r="N493" s="218"/>
      <c r="O493" s="218"/>
      <c r="P493" s="218"/>
      <c r="Q493" s="218"/>
    </row>
    <row r="494">
      <c r="A494" s="218"/>
      <c r="B494" s="218"/>
      <c r="C494" s="218"/>
      <c r="D494" s="218"/>
      <c r="E494" s="218"/>
      <c r="F494" s="218"/>
      <c r="G494" s="218"/>
      <c r="H494" s="218"/>
      <c r="I494" s="218"/>
      <c r="J494" s="218"/>
      <c r="K494" s="218"/>
      <c r="L494" s="218"/>
      <c r="M494" s="218"/>
      <c r="N494" s="218"/>
      <c r="O494" s="218"/>
      <c r="P494" s="218"/>
      <c r="Q494" s="218"/>
    </row>
    <row r="495">
      <c r="A495" s="218"/>
      <c r="B495" s="218"/>
      <c r="C495" s="218"/>
      <c r="D495" s="218"/>
      <c r="E495" s="218"/>
      <c r="F495" s="218"/>
      <c r="G495" s="218"/>
      <c r="H495" s="218"/>
      <c r="I495" s="218"/>
      <c r="J495" s="218"/>
      <c r="K495" s="218"/>
      <c r="L495" s="218"/>
      <c r="M495" s="218"/>
      <c r="N495" s="218"/>
      <c r="O495" s="218"/>
      <c r="P495" s="218"/>
      <c r="Q495" s="218"/>
    </row>
    <row r="496">
      <c r="A496" s="218"/>
      <c r="B496" s="218"/>
      <c r="C496" s="218"/>
      <c r="D496" s="218"/>
      <c r="E496" s="218"/>
      <c r="F496" s="218"/>
      <c r="G496" s="218"/>
      <c r="H496" s="218"/>
      <c r="I496" s="218"/>
      <c r="J496" s="218"/>
      <c r="K496" s="218"/>
      <c r="L496" s="218"/>
      <c r="M496" s="218"/>
      <c r="N496" s="218"/>
      <c r="O496" s="218"/>
      <c r="P496" s="218"/>
      <c r="Q496" s="218"/>
    </row>
    <row r="497">
      <c r="A497" s="218"/>
      <c r="B497" s="218"/>
      <c r="C497" s="218"/>
      <c r="D497" s="218"/>
      <c r="E497" s="218"/>
      <c r="F497" s="218"/>
      <c r="G497" s="218"/>
      <c r="H497" s="218"/>
      <c r="I497" s="218"/>
      <c r="J497" s="218"/>
      <c r="K497" s="218"/>
      <c r="L497" s="218"/>
      <c r="M497" s="218"/>
      <c r="N497" s="218"/>
      <c r="O497" s="218"/>
      <c r="P497" s="218"/>
      <c r="Q497" s="218"/>
    </row>
    <row r="498">
      <c r="A498" s="218"/>
      <c r="B498" s="218"/>
      <c r="C498" s="218"/>
      <c r="D498" s="218"/>
      <c r="E498" s="218"/>
      <c r="F498" s="218"/>
      <c r="G498" s="218"/>
      <c r="H498" s="218"/>
      <c r="I498" s="218"/>
      <c r="J498" s="218"/>
      <c r="K498" s="218"/>
      <c r="L498" s="218"/>
      <c r="M498" s="218"/>
      <c r="N498" s="218"/>
      <c r="O498" s="218"/>
      <c r="P498" s="218"/>
      <c r="Q498" s="218"/>
    </row>
    <row r="499">
      <c r="A499" s="218"/>
      <c r="B499" s="218"/>
      <c r="C499" s="218"/>
      <c r="D499" s="218"/>
      <c r="E499" s="218"/>
      <c r="F499" s="218"/>
      <c r="G499" s="218"/>
      <c r="H499" s="218"/>
      <c r="I499" s="218"/>
      <c r="J499" s="218"/>
      <c r="K499" s="218"/>
      <c r="L499" s="218"/>
      <c r="M499" s="218"/>
      <c r="N499" s="218"/>
      <c r="O499" s="218"/>
      <c r="P499" s="218"/>
      <c r="Q499" s="218"/>
    </row>
    <row r="500">
      <c r="A500" s="218"/>
      <c r="B500" s="218"/>
      <c r="C500" s="218"/>
      <c r="D500" s="218"/>
      <c r="E500" s="218"/>
      <c r="F500" s="218"/>
      <c r="G500" s="218"/>
      <c r="H500" s="218"/>
      <c r="I500" s="218"/>
      <c r="J500" s="218"/>
      <c r="K500" s="218"/>
      <c r="L500" s="218"/>
      <c r="M500" s="218"/>
      <c r="N500" s="218"/>
      <c r="O500" s="218"/>
      <c r="P500" s="218"/>
      <c r="Q500" s="218"/>
    </row>
    <row r="501">
      <c r="A501" s="218"/>
      <c r="B501" s="218"/>
      <c r="C501" s="218"/>
      <c r="D501" s="218"/>
      <c r="E501" s="218"/>
      <c r="F501" s="218"/>
      <c r="G501" s="218"/>
      <c r="H501" s="218"/>
      <c r="I501" s="218"/>
      <c r="J501" s="218"/>
      <c r="K501" s="218"/>
      <c r="L501" s="218"/>
      <c r="M501" s="218"/>
      <c r="N501" s="218"/>
      <c r="O501" s="218"/>
      <c r="P501" s="218"/>
      <c r="Q501" s="218"/>
    </row>
    <row r="502">
      <c r="A502" s="218"/>
      <c r="B502" s="218"/>
      <c r="C502" s="218"/>
      <c r="D502" s="218"/>
      <c r="E502" s="218"/>
      <c r="F502" s="218"/>
      <c r="G502" s="218"/>
      <c r="H502" s="218"/>
      <c r="I502" s="218"/>
      <c r="J502" s="218"/>
      <c r="K502" s="218"/>
      <c r="L502" s="218"/>
      <c r="M502" s="218"/>
      <c r="N502" s="218"/>
      <c r="O502" s="218"/>
      <c r="P502" s="218"/>
      <c r="Q502" s="218"/>
    </row>
    <row r="503">
      <c r="A503" s="218"/>
      <c r="B503" s="218"/>
      <c r="C503" s="218"/>
      <c r="D503" s="218"/>
      <c r="E503" s="218"/>
      <c r="F503" s="218"/>
      <c r="G503" s="218"/>
      <c r="H503" s="218"/>
      <c r="I503" s="218"/>
      <c r="J503" s="218"/>
      <c r="K503" s="218"/>
      <c r="L503" s="218"/>
      <c r="M503" s="218"/>
      <c r="N503" s="218"/>
      <c r="O503" s="218"/>
      <c r="P503" s="218"/>
      <c r="Q503" s="218"/>
    </row>
    <row r="504">
      <c r="A504" s="218"/>
      <c r="B504" s="218"/>
      <c r="C504" s="218"/>
      <c r="D504" s="218"/>
      <c r="E504" s="218"/>
      <c r="F504" s="218"/>
      <c r="G504" s="218"/>
      <c r="H504" s="218"/>
      <c r="I504" s="218"/>
      <c r="J504" s="218"/>
      <c r="K504" s="218"/>
      <c r="L504" s="218"/>
      <c r="M504" s="218"/>
      <c r="N504" s="218"/>
      <c r="O504" s="218"/>
      <c r="P504" s="218"/>
      <c r="Q504" s="218"/>
    </row>
    <row r="505">
      <c r="A505" s="218"/>
      <c r="B505" s="218"/>
      <c r="C505" s="218"/>
      <c r="D505" s="218"/>
      <c r="E505" s="218"/>
      <c r="F505" s="218"/>
      <c r="G505" s="218"/>
      <c r="H505" s="218"/>
      <c r="I505" s="218"/>
      <c r="J505" s="218"/>
      <c r="K505" s="218"/>
      <c r="L505" s="218"/>
      <c r="M505" s="218"/>
      <c r="N505" s="218"/>
      <c r="O505" s="218"/>
      <c r="P505" s="218"/>
      <c r="Q505" s="218"/>
    </row>
    <row r="506">
      <c r="A506" s="218"/>
      <c r="B506" s="218"/>
      <c r="C506" s="218"/>
      <c r="D506" s="218"/>
      <c r="E506" s="218"/>
      <c r="F506" s="218"/>
      <c r="G506" s="218"/>
      <c r="H506" s="218"/>
      <c r="I506" s="218"/>
      <c r="J506" s="218"/>
      <c r="K506" s="218"/>
      <c r="L506" s="218"/>
      <c r="M506" s="218"/>
      <c r="N506" s="218"/>
      <c r="O506" s="218"/>
      <c r="P506" s="218"/>
      <c r="Q506" s="218"/>
    </row>
    <row r="507">
      <c r="A507" s="218"/>
      <c r="B507" s="218"/>
      <c r="C507" s="218"/>
      <c r="D507" s="218"/>
      <c r="E507" s="218"/>
      <c r="F507" s="218"/>
      <c r="G507" s="218"/>
      <c r="H507" s="218"/>
      <c r="I507" s="218"/>
      <c r="J507" s="218"/>
      <c r="K507" s="218"/>
      <c r="L507" s="218"/>
      <c r="M507" s="218"/>
      <c r="N507" s="218"/>
      <c r="O507" s="218"/>
      <c r="P507" s="218"/>
      <c r="Q507" s="218"/>
    </row>
    <row r="508">
      <c r="A508" s="218"/>
      <c r="B508" s="218"/>
      <c r="C508" s="218"/>
      <c r="D508" s="218"/>
      <c r="E508" s="218"/>
      <c r="F508" s="218"/>
      <c r="G508" s="218"/>
      <c r="H508" s="218"/>
      <c r="I508" s="218"/>
      <c r="J508" s="218"/>
      <c r="K508" s="218"/>
      <c r="L508" s="218"/>
      <c r="M508" s="218"/>
      <c r="N508" s="218"/>
      <c r="O508" s="218"/>
      <c r="P508" s="218"/>
      <c r="Q508" s="218"/>
    </row>
    <row r="509">
      <c r="A509" s="218"/>
      <c r="B509" s="218"/>
      <c r="C509" s="218"/>
      <c r="D509" s="218"/>
      <c r="E509" s="218"/>
      <c r="F509" s="218"/>
      <c r="G509" s="218"/>
      <c r="H509" s="218"/>
      <c r="I509" s="218"/>
      <c r="J509" s="218"/>
      <c r="K509" s="218"/>
      <c r="L509" s="218"/>
      <c r="M509" s="218"/>
      <c r="N509" s="218"/>
      <c r="O509" s="218"/>
      <c r="P509" s="218"/>
      <c r="Q509" s="218"/>
    </row>
    <row r="510">
      <c r="A510" s="218"/>
      <c r="B510" s="218"/>
      <c r="C510" s="218"/>
      <c r="D510" s="218"/>
      <c r="E510" s="218"/>
      <c r="F510" s="218"/>
      <c r="G510" s="218"/>
      <c r="H510" s="218"/>
      <c r="I510" s="218"/>
      <c r="J510" s="218"/>
      <c r="K510" s="218"/>
      <c r="L510" s="218"/>
      <c r="M510" s="218"/>
      <c r="N510" s="218"/>
      <c r="O510" s="218"/>
      <c r="P510" s="218"/>
      <c r="Q510" s="218"/>
    </row>
    <row r="511">
      <c r="A511" s="218"/>
      <c r="B511" s="218"/>
      <c r="C511" s="218"/>
      <c r="D511" s="218"/>
      <c r="E511" s="218"/>
      <c r="F511" s="218"/>
      <c r="G511" s="218"/>
      <c r="H511" s="218"/>
      <c r="I511" s="218"/>
      <c r="J511" s="218"/>
      <c r="K511" s="218"/>
      <c r="L511" s="218"/>
      <c r="M511" s="218"/>
      <c r="N511" s="218"/>
      <c r="O511" s="218"/>
      <c r="P511" s="218"/>
      <c r="Q511" s="218"/>
    </row>
    <row r="512">
      <c r="A512" s="218"/>
      <c r="B512" s="218"/>
      <c r="C512" s="218"/>
      <c r="D512" s="218"/>
      <c r="E512" s="218"/>
      <c r="F512" s="218"/>
      <c r="G512" s="218"/>
      <c r="H512" s="218"/>
      <c r="I512" s="218"/>
      <c r="J512" s="218"/>
      <c r="K512" s="218"/>
      <c r="L512" s="218"/>
      <c r="M512" s="218"/>
      <c r="N512" s="218"/>
      <c r="O512" s="218"/>
      <c r="P512" s="218"/>
      <c r="Q512" s="218"/>
    </row>
    <row r="513">
      <c r="A513" s="218"/>
      <c r="B513" s="218"/>
      <c r="C513" s="218"/>
      <c r="D513" s="218"/>
      <c r="E513" s="218"/>
      <c r="F513" s="218"/>
      <c r="G513" s="218"/>
      <c r="H513" s="218"/>
      <c r="I513" s="218"/>
      <c r="J513" s="218"/>
      <c r="K513" s="218"/>
      <c r="L513" s="218"/>
      <c r="M513" s="218"/>
      <c r="N513" s="218"/>
      <c r="O513" s="218"/>
      <c r="P513" s="218"/>
      <c r="Q513" s="218"/>
    </row>
    <row r="514">
      <c r="A514" s="218"/>
      <c r="B514" s="218"/>
      <c r="C514" s="218"/>
      <c r="D514" s="218"/>
      <c r="E514" s="218"/>
      <c r="F514" s="218"/>
      <c r="G514" s="218"/>
      <c r="H514" s="218"/>
      <c r="I514" s="218"/>
      <c r="J514" s="218"/>
      <c r="K514" s="218"/>
      <c r="L514" s="218"/>
      <c r="M514" s="218"/>
      <c r="N514" s="218"/>
      <c r="O514" s="218"/>
      <c r="P514" s="218"/>
      <c r="Q514" s="218"/>
    </row>
    <row r="515">
      <c r="A515" s="218"/>
      <c r="B515" s="218"/>
      <c r="C515" s="218"/>
      <c r="D515" s="218"/>
      <c r="E515" s="218"/>
      <c r="F515" s="218"/>
      <c r="G515" s="218"/>
      <c r="H515" s="218"/>
      <c r="I515" s="218"/>
      <c r="J515" s="218"/>
      <c r="K515" s="218"/>
      <c r="L515" s="218"/>
      <c r="M515" s="218"/>
      <c r="N515" s="218"/>
      <c r="O515" s="218"/>
      <c r="P515" s="218"/>
      <c r="Q515" s="218"/>
    </row>
    <row r="516">
      <c r="A516" s="218"/>
      <c r="B516" s="218"/>
      <c r="C516" s="218"/>
      <c r="D516" s="218"/>
      <c r="E516" s="218"/>
      <c r="F516" s="218"/>
      <c r="G516" s="218"/>
      <c r="H516" s="218"/>
      <c r="I516" s="218"/>
      <c r="J516" s="218"/>
      <c r="K516" s="218"/>
      <c r="L516" s="218"/>
      <c r="M516" s="218"/>
      <c r="N516" s="218"/>
      <c r="O516" s="218"/>
      <c r="P516" s="218"/>
      <c r="Q516" s="218"/>
    </row>
    <row r="517">
      <c r="A517" s="218"/>
      <c r="B517" s="218"/>
      <c r="C517" s="218"/>
      <c r="D517" s="218"/>
      <c r="E517" s="218"/>
      <c r="F517" s="218"/>
      <c r="G517" s="218"/>
      <c r="H517" s="218"/>
      <c r="I517" s="218"/>
      <c r="J517" s="218"/>
      <c r="K517" s="218"/>
      <c r="L517" s="218"/>
      <c r="M517" s="218"/>
      <c r="N517" s="218"/>
      <c r="O517" s="218"/>
      <c r="P517" s="218"/>
      <c r="Q517" s="218"/>
    </row>
    <row r="518">
      <c r="A518" s="218"/>
      <c r="B518" s="218"/>
      <c r="C518" s="218"/>
      <c r="D518" s="218"/>
      <c r="E518" s="218"/>
      <c r="F518" s="218"/>
      <c r="G518" s="218"/>
      <c r="H518" s="218"/>
      <c r="I518" s="218"/>
      <c r="J518" s="218"/>
      <c r="K518" s="218"/>
      <c r="L518" s="218"/>
      <c r="M518" s="218"/>
      <c r="N518" s="218"/>
      <c r="O518" s="218"/>
      <c r="P518" s="218"/>
      <c r="Q518" s="218"/>
    </row>
    <row r="519">
      <c r="A519" s="218"/>
      <c r="B519" s="218"/>
      <c r="C519" s="218"/>
      <c r="D519" s="218"/>
      <c r="E519" s="218"/>
      <c r="F519" s="218"/>
      <c r="G519" s="218"/>
      <c r="H519" s="218"/>
      <c r="I519" s="218"/>
      <c r="J519" s="218"/>
      <c r="K519" s="218"/>
      <c r="L519" s="218"/>
      <c r="M519" s="218"/>
      <c r="N519" s="218"/>
      <c r="O519" s="218"/>
      <c r="P519" s="218"/>
      <c r="Q519" s="218"/>
    </row>
    <row r="520">
      <c r="A520" s="218"/>
      <c r="B520" s="218"/>
      <c r="C520" s="218"/>
      <c r="D520" s="218"/>
      <c r="E520" s="218"/>
      <c r="F520" s="218"/>
      <c r="G520" s="218"/>
      <c r="H520" s="218"/>
      <c r="I520" s="218"/>
      <c r="J520" s="218"/>
      <c r="K520" s="218"/>
      <c r="L520" s="218"/>
      <c r="M520" s="218"/>
      <c r="N520" s="218"/>
      <c r="O520" s="218"/>
      <c r="P520" s="218"/>
      <c r="Q520" s="218"/>
    </row>
    <row r="521">
      <c r="A521" s="218"/>
      <c r="B521" s="218"/>
      <c r="C521" s="218"/>
      <c r="D521" s="218"/>
      <c r="E521" s="218"/>
      <c r="F521" s="218"/>
      <c r="G521" s="218"/>
      <c r="H521" s="218"/>
      <c r="I521" s="218"/>
      <c r="J521" s="218"/>
      <c r="K521" s="218"/>
      <c r="L521" s="218"/>
      <c r="M521" s="218"/>
      <c r="N521" s="218"/>
      <c r="O521" s="218"/>
      <c r="P521" s="218"/>
      <c r="Q521" s="218"/>
    </row>
    <row r="522">
      <c r="A522" s="218"/>
      <c r="B522" s="218"/>
      <c r="C522" s="218"/>
      <c r="D522" s="218"/>
      <c r="E522" s="218"/>
      <c r="F522" s="218"/>
      <c r="G522" s="218"/>
      <c r="H522" s="218"/>
      <c r="I522" s="218"/>
      <c r="J522" s="218"/>
      <c r="K522" s="218"/>
      <c r="L522" s="218"/>
      <c r="M522" s="218"/>
      <c r="N522" s="218"/>
      <c r="O522" s="218"/>
      <c r="P522" s="218"/>
      <c r="Q522" s="218"/>
    </row>
    <row r="523">
      <c r="A523" s="218"/>
      <c r="B523" s="218"/>
      <c r="C523" s="218"/>
      <c r="D523" s="218"/>
      <c r="E523" s="218"/>
      <c r="F523" s="218"/>
      <c r="G523" s="218"/>
      <c r="H523" s="218"/>
      <c r="I523" s="218"/>
      <c r="J523" s="218"/>
      <c r="K523" s="218"/>
      <c r="L523" s="218"/>
      <c r="M523" s="218"/>
      <c r="N523" s="218"/>
      <c r="O523" s="218"/>
      <c r="P523" s="218"/>
      <c r="Q523" s="218"/>
    </row>
    <row r="524">
      <c r="A524" s="218"/>
      <c r="B524" s="218"/>
      <c r="C524" s="218"/>
      <c r="D524" s="218"/>
      <c r="E524" s="218"/>
      <c r="F524" s="218"/>
      <c r="G524" s="218"/>
      <c r="H524" s="218"/>
      <c r="I524" s="218"/>
      <c r="J524" s="218"/>
      <c r="K524" s="218"/>
      <c r="L524" s="218"/>
      <c r="M524" s="218"/>
      <c r="N524" s="218"/>
      <c r="O524" s="218"/>
      <c r="P524" s="218"/>
      <c r="Q524" s="218"/>
    </row>
    <row r="525">
      <c r="A525" s="218"/>
      <c r="B525" s="218"/>
      <c r="C525" s="218"/>
      <c r="D525" s="218"/>
      <c r="E525" s="218"/>
      <c r="F525" s="218"/>
      <c r="G525" s="218"/>
      <c r="H525" s="218"/>
      <c r="I525" s="218"/>
      <c r="J525" s="218"/>
      <c r="K525" s="218"/>
      <c r="L525" s="218"/>
      <c r="M525" s="218"/>
      <c r="N525" s="218"/>
      <c r="O525" s="218"/>
      <c r="P525" s="218"/>
      <c r="Q525" s="218"/>
    </row>
    <row r="526">
      <c r="A526" s="218"/>
      <c r="B526" s="218"/>
      <c r="C526" s="218"/>
      <c r="D526" s="218"/>
      <c r="E526" s="218"/>
      <c r="F526" s="218"/>
      <c r="G526" s="218"/>
      <c r="H526" s="218"/>
      <c r="I526" s="218"/>
      <c r="J526" s="218"/>
      <c r="K526" s="218"/>
      <c r="L526" s="218"/>
      <c r="M526" s="218"/>
      <c r="N526" s="218"/>
      <c r="O526" s="218"/>
      <c r="P526" s="218"/>
      <c r="Q526" s="218"/>
    </row>
    <row r="527">
      <c r="A527" s="218"/>
      <c r="B527" s="218"/>
      <c r="C527" s="218"/>
      <c r="D527" s="218"/>
      <c r="E527" s="218"/>
      <c r="F527" s="218"/>
      <c r="G527" s="218"/>
      <c r="H527" s="218"/>
      <c r="I527" s="218"/>
      <c r="J527" s="218"/>
      <c r="K527" s="218"/>
      <c r="L527" s="218"/>
      <c r="M527" s="218"/>
      <c r="N527" s="218"/>
      <c r="O527" s="218"/>
      <c r="P527" s="218"/>
      <c r="Q527" s="218"/>
    </row>
    <row r="528">
      <c r="A528" s="218"/>
      <c r="B528" s="218"/>
      <c r="C528" s="218"/>
      <c r="D528" s="218"/>
      <c r="E528" s="218"/>
      <c r="F528" s="218"/>
      <c r="G528" s="218"/>
      <c r="H528" s="218"/>
      <c r="I528" s="218"/>
      <c r="J528" s="218"/>
      <c r="K528" s="218"/>
      <c r="L528" s="218"/>
      <c r="M528" s="218"/>
      <c r="N528" s="218"/>
      <c r="O528" s="218"/>
      <c r="P528" s="218"/>
      <c r="Q528" s="218"/>
    </row>
    <row r="529">
      <c r="A529" s="218"/>
      <c r="B529" s="218"/>
      <c r="C529" s="218"/>
      <c r="D529" s="218"/>
      <c r="E529" s="218"/>
      <c r="F529" s="218"/>
      <c r="G529" s="218"/>
      <c r="H529" s="218"/>
      <c r="I529" s="218"/>
      <c r="J529" s="218"/>
      <c r="K529" s="218"/>
      <c r="L529" s="218"/>
      <c r="M529" s="218"/>
      <c r="N529" s="218"/>
      <c r="O529" s="218"/>
      <c r="P529" s="218"/>
      <c r="Q529" s="218"/>
    </row>
    <row r="530">
      <c r="A530" s="218"/>
      <c r="B530" s="218"/>
      <c r="C530" s="218"/>
      <c r="D530" s="218"/>
      <c r="E530" s="218"/>
      <c r="F530" s="218"/>
      <c r="G530" s="218"/>
      <c r="H530" s="218"/>
      <c r="I530" s="218"/>
      <c r="J530" s="218"/>
      <c r="K530" s="218"/>
      <c r="L530" s="218"/>
      <c r="M530" s="218"/>
      <c r="N530" s="218"/>
      <c r="O530" s="218"/>
      <c r="P530" s="218"/>
      <c r="Q530" s="218"/>
    </row>
    <row r="531">
      <c r="A531" s="218"/>
      <c r="B531" s="218"/>
      <c r="C531" s="218"/>
      <c r="D531" s="218"/>
      <c r="E531" s="218"/>
      <c r="F531" s="218"/>
      <c r="G531" s="218"/>
      <c r="H531" s="218"/>
      <c r="I531" s="218"/>
      <c r="J531" s="218"/>
      <c r="K531" s="218"/>
      <c r="L531" s="218"/>
      <c r="M531" s="218"/>
      <c r="N531" s="218"/>
      <c r="O531" s="218"/>
      <c r="P531" s="218"/>
      <c r="Q531" s="218"/>
    </row>
    <row r="532">
      <c r="A532" s="218"/>
      <c r="B532" s="218"/>
      <c r="C532" s="218"/>
      <c r="D532" s="218"/>
      <c r="E532" s="218"/>
      <c r="F532" s="218"/>
      <c r="G532" s="218"/>
      <c r="H532" s="218"/>
      <c r="I532" s="218"/>
      <c r="J532" s="218"/>
      <c r="K532" s="218"/>
      <c r="L532" s="218"/>
      <c r="M532" s="218"/>
      <c r="N532" s="218"/>
      <c r="O532" s="218"/>
      <c r="P532" s="218"/>
      <c r="Q532" s="218"/>
    </row>
    <row r="533">
      <c r="A533" s="218"/>
      <c r="B533" s="218"/>
      <c r="C533" s="218"/>
      <c r="D533" s="218"/>
      <c r="E533" s="218"/>
      <c r="F533" s="218"/>
      <c r="G533" s="218"/>
      <c r="H533" s="218"/>
      <c r="I533" s="218"/>
      <c r="J533" s="218"/>
      <c r="K533" s="218"/>
      <c r="L533" s="218"/>
      <c r="M533" s="218"/>
      <c r="N533" s="218"/>
      <c r="O533" s="218"/>
      <c r="P533" s="218"/>
      <c r="Q533" s="218"/>
    </row>
    <row r="534">
      <c r="A534" s="218"/>
      <c r="B534" s="218"/>
      <c r="C534" s="218"/>
      <c r="D534" s="218"/>
      <c r="E534" s="218"/>
      <c r="F534" s="218"/>
      <c r="G534" s="218"/>
      <c r="H534" s="218"/>
      <c r="I534" s="218"/>
      <c r="J534" s="218"/>
      <c r="K534" s="218"/>
      <c r="L534" s="218"/>
      <c r="M534" s="218"/>
      <c r="N534" s="218"/>
      <c r="O534" s="218"/>
      <c r="P534" s="218"/>
      <c r="Q534" s="218"/>
    </row>
    <row r="535">
      <c r="A535" s="218"/>
      <c r="B535" s="218"/>
      <c r="C535" s="218"/>
      <c r="D535" s="218"/>
      <c r="E535" s="218"/>
      <c r="F535" s="218"/>
      <c r="G535" s="218"/>
      <c r="H535" s="218"/>
      <c r="I535" s="218"/>
      <c r="J535" s="218"/>
      <c r="K535" s="218"/>
      <c r="L535" s="218"/>
      <c r="M535" s="218"/>
      <c r="N535" s="218"/>
      <c r="O535" s="218"/>
      <c r="P535" s="218"/>
      <c r="Q535" s="218"/>
    </row>
    <row r="536">
      <c r="A536" s="218"/>
      <c r="B536" s="218"/>
      <c r="C536" s="218"/>
      <c r="D536" s="218"/>
      <c r="E536" s="218"/>
      <c r="F536" s="218"/>
      <c r="G536" s="218"/>
      <c r="H536" s="218"/>
      <c r="I536" s="218"/>
      <c r="J536" s="218"/>
      <c r="K536" s="218"/>
      <c r="L536" s="218"/>
      <c r="M536" s="218"/>
      <c r="N536" s="218"/>
      <c r="O536" s="218"/>
      <c r="P536" s="218"/>
      <c r="Q536" s="218"/>
    </row>
    <row r="537">
      <c r="A537" s="218"/>
      <c r="B537" s="218"/>
      <c r="C537" s="218"/>
      <c r="D537" s="218"/>
      <c r="E537" s="218"/>
      <c r="F537" s="218"/>
      <c r="G537" s="218"/>
      <c r="H537" s="218"/>
      <c r="I537" s="218"/>
      <c r="J537" s="218"/>
      <c r="K537" s="218"/>
      <c r="L537" s="218"/>
      <c r="M537" s="218"/>
      <c r="N537" s="218"/>
      <c r="O537" s="218"/>
      <c r="P537" s="218"/>
      <c r="Q537" s="218"/>
    </row>
    <row r="538">
      <c r="A538" s="218"/>
      <c r="B538" s="218"/>
      <c r="C538" s="218"/>
      <c r="D538" s="218"/>
      <c r="E538" s="218"/>
      <c r="F538" s="218"/>
      <c r="G538" s="218"/>
      <c r="H538" s="218"/>
      <c r="I538" s="218"/>
      <c r="J538" s="218"/>
      <c r="K538" s="218"/>
      <c r="L538" s="218"/>
      <c r="M538" s="218"/>
      <c r="N538" s="218"/>
      <c r="O538" s="218"/>
      <c r="P538" s="218"/>
      <c r="Q538" s="218"/>
    </row>
    <row r="539">
      <c r="A539" s="218"/>
      <c r="B539" s="218"/>
      <c r="C539" s="218"/>
      <c r="D539" s="218"/>
      <c r="E539" s="218"/>
      <c r="F539" s="218"/>
      <c r="G539" s="218"/>
      <c r="H539" s="218"/>
      <c r="I539" s="218"/>
      <c r="J539" s="218"/>
      <c r="K539" s="218"/>
      <c r="L539" s="218"/>
      <c r="M539" s="218"/>
      <c r="N539" s="218"/>
      <c r="O539" s="218"/>
      <c r="P539" s="218"/>
      <c r="Q539" s="218"/>
    </row>
    <row r="540">
      <c r="A540" s="218"/>
      <c r="B540" s="218"/>
      <c r="C540" s="218"/>
      <c r="D540" s="218"/>
      <c r="E540" s="218"/>
      <c r="F540" s="218"/>
      <c r="G540" s="218"/>
      <c r="H540" s="218"/>
      <c r="I540" s="218"/>
      <c r="J540" s="218"/>
      <c r="K540" s="218"/>
      <c r="L540" s="218"/>
      <c r="M540" s="218"/>
      <c r="N540" s="218"/>
      <c r="O540" s="218"/>
      <c r="P540" s="218"/>
      <c r="Q540" s="218"/>
    </row>
    <row r="541">
      <c r="A541" s="218"/>
      <c r="B541" s="218"/>
      <c r="C541" s="218"/>
      <c r="D541" s="218"/>
      <c r="E541" s="218"/>
      <c r="F541" s="218"/>
      <c r="G541" s="218"/>
      <c r="H541" s="218"/>
      <c r="I541" s="218"/>
      <c r="J541" s="218"/>
      <c r="K541" s="218"/>
      <c r="L541" s="218"/>
      <c r="M541" s="218"/>
      <c r="N541" s="218"/>
      <c r="O541" s="218"/>
      <c r="P541" s="218"/>
      <c r="Q541" s="218"/>
    </row>
    <row r="542">
      <c r="A542" s="218"/>
      <c r="B542" s="218"/>
      <c r="C542" s="218"/>
      <c r="D542" s="218"/>
      <c r="E542" s="218"/>
      <c r="F542" s="218"/>
      <c r="G542" s="218"/>
      <c r="H542" s="218"/>
      <c r="I542" s="218"/>
      <c r="J542" s="218"/>
      <c r="K542" s="218"/>
      <c r="L542" s="218"/>
      <c r="M542" s="218"/>
      <c r="N542" s="218"/>
      <c r="O542" s="218"/>
      <c r="P542" s="218"/>
      <c r="Q542" s="218"/>
    </row>
    <row r="543">
      <c r="A543" s="218"/>
      <c r="B543" s="218"/>
      <c r="C543" s="218"/>
      <c r="D543" s="218"/>
      <c r="E543" s="218"/>
      <c r="F543" s="218"/>
      <c r="G543" s="218"/>
      <c r="H543" s="218"/>
      <c r="I543" s="218"/>
      <c r="J543" s="218"/>
      <c r="K543" s="218"/>
      <c r="L543" s="218"/>
      <c r="M543" s="218"/>
      <c r="N543" s="218"/>
      <c r="O543" s="218"/>
      <c r="P543" s="218"/>
      <c r="Q543" s="218"/>
    </row>
    <row r="544">
      <c r="A544" s="218"/>
      <c r="B544" s="218"/>
      <c r="C544" s="218"/>
      <c r="D544" s="218"/>
      <c r="E544" s="218"/>
      <c r="F544" s="218"/>
      <c r="G544" s="218"/>
      <c r="H544" s="218"/>
      <c r="I544" s="218"/>
      <c r="J544" s="218"/>
      <c r="K544" s="218"/>
      <c r="L544" s="218"/>
      <c r="M544" s="218"/>
      <c r="N544" s="218"/>
      <c r="O544" s="218"/>
      <c r="P544" s="218"/>
      <c r="Q544" s="218"/>
    </row>
    <row r="545">
      <c r="A545" s="218"/>
      <c r="B545" s="218"/>
      <c r="C545" s="218"/>
      <c r="D545" s="218"/>
      <c r="E545" s="218"/>
      <c r="F545" s="218"/>
      <c r="G545" s="218"/>
      <c r="H545" s="218"/>
      <c r="I545" s="218"/>
      <c r="J545" s="218"/>
      <c r="K545" s="218"/>
      <c r="L545" s="218"/>
      <c r="M545" s="218"/>
      <c r="N545" s="218"/>
      <c r="O545" s="218"/>
      <c r="P545" s="218"/>
      <c r="Q545" s="218"/>
    </row>
    <row r="546">
      <c r="A546" s="218"/>
      <c r="B546" s="218"/>
      <c r="C546" s="218"/>
      <c r="D546" s="218"/>
      <c r="E546" s="218"/>
      <c r="F546" s="218"/>
      <c r="G546" s="218"/>
      <c r="H546" s="218"/>
      <c r="I546" s="218"/>
      <c r="J546" s="218"/>
      <c r="K546" s="218"/>
      <c r="L546" s="218"/>
      <c r="M546" s="218"/>
      <c r="N546" s="218"/>
      <c r="O546" s="218"/>
      <c r="P546" s="218"/>
      <c r="Q546" s="218"/>
    </row>
    <row r="547">
      <c r="A547" s="218"/>
      <c r="B547" s="218"/>
      <c r="C547" s="218"/>
      <c r="D547" s="218"/>
      <c r="E547" s="218"/>
      <c r="F547" s="218"/>
      <c r="G547" s="218"/>
      <c r="H547" s="218"/>
      <c r="I547" s="218"/>
      <c r="J547" s="218"/>
      <c r="K547" s="218"/>
      <c r="L547" s="218"/>
      <c r="M547" s="218"/>
      <c r="N547" s="218"/>
      <c r="O547" s="218"/>
      <c r="P547" s="218"/>
      <c r="Q547" s="218"/>
    </row>
    <row r="548">
      <c r="A548" s="218"/>
      <c r="B548" s="218"/>
      <c r="C548" s="218"/>
      <c r="D548" s="218"/>
      <c r="E548" s="218"/>
      <c r="F548" s="218"/>
      <c r="G548" s="218"/>
      <c r="H548" s="218"/>
      <c r="I548" s="218"/>
      <c r="J548" s="218"/>
      <c r="K548" s="218"/>
      <c r="L548" s="218"/>
      <c r="M548" s="218"/>
      <c r="N548" s="218"/>
      <c r="O548" s="218"/>
      <c r="P548" s="218"/>
      <c r="Q548" s="218"/>
    </row>
    <row r="549">
      <c r="A549" s="218"/>
      <c r="B549" s="218"/>
      <c r="C549" s="218"/>
      <c r="D549" s="218"/>
      <c r="E549" s="218"/>
      <c r="F549" s="218"/>
      <c r="G549" s="218"/>
      <c r="H549" s="218"/>
      <c r="I549" s="218"/>
      <c r="J549" s="218"/>
      <c r="K549" s="218"/>
      <c r="L549" s="218"/>
      <c r="M549" s="218"/>
      <c r="N549" s="218"/>
      <c r="O549" s="218"/>
      <c r="P549" s="218"/>
      <c r="Q549" s="218"/>
    </row>
    <row r="550">
      <c r="A550" s="218"/>
      <c r="B550" s="218"/>
      <c r="C550" s="218"/>
      <c r="D550" s="218"/>
      <c r="E550" s="218"/>
      <c r="F550" s="218"/>
      <c r="G550" s="218"/>
      <c r="H550" s="218"/>
      <c r="I550" s="218"/>
      <c r="J550" s="218"/>
      <c r="K550" s="218"/>
      <c r="L550" s="218"/>
      <c r="M550" s="218"/>
      <c r="N550" s="218"/>
      <c r="O550" s="218"/>
      <c r="P550" s="218"/>
      <c r="Q550" s="218"/>
    </row>
    <row r="551">
      <c r="A551" s="218"/>
      <c r="B551" s="218"/>
      <c r="C551" s="218"/>
      <c r="D551" s="218"/>
      <c r="E551" s="218"/>
      <c r="F551" s="218"/>
      <c r="G551" s="218"/>
      <c r="H551" s="218"/>
      <c r="I551" s="218"/>
      <c r="J551" s="218"/>
      <c r="K551" s="218"/>
      <c r="L551" s="218"/>
      <c r="M551" s="218"/>
      <c r="N551" s="218"/>
      <c r="O551" s="218"/>
      <c r="P551" s="218"/>
      <c r="Q551" s="218"/>
    </row>
    <row r="552">
      <c r="A552" s="218"/>
      <c r="B552" s="218"/>
      <c r="C552" s="218"/>
      <c r="D552" s="218"/>
      <c r="E552" s="218"/>
      <c r="F552" s="218"/>
      <c r="G552" s="218"/>
      <c r="H552" s="218"/>
      <c r="I552" s="218"/>
      <c r="J552" s="218"/>
      <c r="K552" s="218"/>
      <c r="L552" s="218"/>
      <c r="M552" s="218"/>
      <c r="N552" s="218"/>
      <c r="O552" s="218"/>
      <c r="P552" s="218"/>
      <c r="Q552" s="218"/>
    </row>
    <row r="553">
      <c r="A553" s="218"/>
      <c r="B553" s="218"/>
      <c r="C553" s="218"/>
      <c r="D553" s="218"/>
      <c r="E553" s="218"/>
      <c r="F553" s="218"/>
      <c r="G553" s="218"/>
      <c r="H553" s="218"/>
      <c r="I553" s="218"/>
      <c r="J553" s="218"/>
      <c r="K553" s="218"/>
      <c r="L553" s="218"/>
      <c r="M553" s="218"/>
      <c r="N553" s="218"/>
      <c r="O553" s="218"/>
      <c r="P553" s="218"/>
      <c r="Q553" s="218"/>
    </row>
    <row r="554">
      <c r="A554" s="218"/>
      <c r="B554" s="218"/>
      <c r="C554" s="218"/>
      <c r="D554" s="218"/>
      <c r="E554" s="218"/>
      <c r="F554" s="218"/>
      <c r="G554" s="218"/>
      <c r="H554" s="218"/>
      <c r="I554" s="218"/>
      <c r="J554" s="218"/>
      <c r="K554" s="218"/>
      <c r="L554" s="218"/>
      <c r="M554" s="218"/>
      <c r="N554" s="218"/>
      <c r="O554" s="218"/>
      <c r="P554" s="218"/>
      <c r="Q554" s="218"/>
    </row>
    <row r="555">
      <c r="A555" s="218"/>
      <c r="B555" s="218"/>
      <c r="C555" s="218"/>
      <c r="D555" s="218"/>
      <c r="E555" s="218"/>
      <c r="F555" s="218"/>
      <c r="G555" s="218"/>
      <c r="H555" s="218"/>
      <c r="I555" s="218"/>
      <c r="J555" s="218"/>
      <c r="K555" s="218"/>
      <c r="L555" s="218"/>
      <c r="M555" s="218"/>
      <c r="N555" s="218"/>
      <c r="O555" s="218"/>
      <c r="P555" s="218"/>
      <c r="Q555" s="218"/>
    </row>
    <row r="556">
      <c r="A556" s="218"/>
      <c r="B556" s="218"/>
      <c r="C556" s="218"/>
      <c r="D556" s="218"/>
      <c r="E556" s="218"/>
      <c r="F556" s="218"/>
      <c r="G556" s="218"/>
      <c r="H556" s="218"/>
      <c r="I556" s="218"/>
      <c r="J556" s="218"/>
      <c r="K556" s="218"/>
      <c r="L556" s="218"/>
      <c r="M556" s="218"/>
      <c r="N556" s="218"/>
      <c r="O556" s="218"/>
      <c r="P556" s="218"/>
      <c r="Q556" s="218"/>
    </row>
    <row r="557">
      <c r="A557" s="218"/>
      <c r="B557" s="218"/>
      <c r="C557" s="218"/>
      <c r="D557" s="218"/>
      <c r="E557" s="218"/>
      <c r="F557" s="218"/>
      <c r="G557" s="218"/>
      <c r="H557" s="218"/>
      <c r="I557" s="218"/>
      <c r="J557" s="218"/>
      <c r="K557" s="218"/>
      <c r="L557" s="218"/>
      <c r="M557" s="218"/>
      <c r="N557" s="218"/>
      <c r="O557" s="218"/>
      <c r="P557" s="218"/>
      <c r="Q557" s="218"/>
    </row>
    <row r="558">
      <c r="A558" s="218"/>
      <c r="B558" s="218"/>
      <c r="C558" s="218"/>
      <c r="D558" s="218"/>
      <c r="E558" s="218"/>
      <c r="F558" s="218"/>
      <c r="G558" s="218"/>
      <c r="H558" s="218"/>
      <c r="I558" s="218"/>
      <c r="J558" s="218"/>
      <c r="K558" s="218"/>
      <c r="L558" s="218"/>
      <c r="M558" s="218"/>
      <c r="N558" s="218"/>
      <c r="O558" s="218"/>
      <c r="P558" s="218"/>
      <c r="Q558" s="218"/>
    </row>
    <row r="559">
      <c r="A559" s="218"/>
      <c r="B559" s="218"/>
      <c r="C559" s="218"/>
      <c r="D559" s="218"/>
      <c r="E559" s="218"/>
      <c r="F559" s="218"/>
      <c r="G559" s="218"/>
      <c r="H559" s="218"/>
      <c r="I559" s="218"/>
      <c r="J559" s="218"/>
      <c r="K559" s="218"/>
      <c r="L559" s="218"/>
      <c r="M559" s="218"/>
      <c r="N559" s="218"/>
      <c r="O559" s="218"/>
      <c r="P559" s="218"/>
      <c r="Q559" s="218"/>
    </row>
    <row r="560">
      <c r="A560" s="218"/>
      <c r="B560" s="218"/>
      <c r="C560" s="218"/>
      <c r="D560" s="218"/>
      <c r="E560" s="218"/>
      <c r="F560" s="218"/>
      <c r="G560" s="218"/>
      <c r="H560" s="218"/>
      <c r="I560" s="218"/>
      <c r="J560" s="218"/>
      <c r="K560" s="218"/>
      <c r="L560" s="218"/>
      <c r="M560" s="218"/>
      <c r="N560" s="218"/>
      <c r="O560" s="218"/>
      <c r="P560" s="218"/>
      <c r="Q560" s="218"/>
    </row>
    <row r="561">
      <c r="A561" s="218"/>
      <c r="B561" s="218"/>
      <c r="C561" s="218"/>
      <c r="D561" s="218"/>
      <c r="E561" s="218"/>
      <c r="F561" s="218"/>
      <c r="G561" s="218"/>
      <c r="H561" s="218"/>
      <c r="I561" s="218"/>
      <c r="J561" s="218"/>
      <c r="K561" s="218"/>
      <c r="L561" s="218"/>
      <c r="M561" s="218"/>
      <c r="N561" s="218"/>
      <c r="O561" s="218"/>
      <c r="P561" s="218"/>
      <c r="Q561" s="218"/>
    </row>
    <row r="562">
      <c r="A562" s="218"/>
      <c r="B562" s="218"/>
      <c r="C562" s="218"/>
      <c r="D562" s="218"/>
      <c r="E562" s="218"/>
      <c r="F562" s="218"/>
      <c r="G562" s="218"/>
      <c r="H562" s="218"/>
      <c r="I562" s="218"/>
      <c r="J562" s="218"/>
      <c r="K562" s="218"/>
      <c r="L562" s="218"/>
      <c r="M562" s="218"/>
      <c r="N562" s="218"/>
      <c r="O562" s="218"/>
      <c r="P562" s="218"/>
      <c r="Q562" s="218"/>
    </row>
    <row r="563">
      <c r="A563" s="218"/>
      <c r="B563" s="218"/>
      <c r="C563" s="218"/>
      <c r="D563" s="218"/>
      <c r="E563" s="218"/>
      <c r="F563" s="218"/>
      <c r="G563" s="218"/>
      <c r="H563" s="218"/>
      <c r="I563" s="218"/>
      <c r="J563" s="218"/>
      <c r="K563" s="218"/>
      <c r="L563" s="218"/>
      <c r="M563" s="218"/>
      <c r="N563" s="218"/>
      <c r="O563" s="218"/>
      <c r="P563" s="218"/>
      <c r="Q563" s="218"/>
    </row>
    <row r="564">
      <c r="A564" s="218"/>
      <c r="B564" s="218"/>
      <c r="C564" s="218"/>
      <c r="D564" s="218"/>
      <c r="E564" s="218"/>
      <c r="F564" s="218"/>
      <c r="G564" s="218"/>
      <c r="H564" s="218"/>
      <c r="I564" s="218"/>
      <c r="J564" s="218"/>
      <c r="K564" s="218"/>
      <c r="L564" s="218"/>
      <c r="M564" s="218"/>
      <c r="N564" s="218"/>
      <c r="O564" s="218"/>
      <c r="P564" s="218"/>
      <c r="Q564" s="218"/>
    </row>
    <row r="565">
      <c r="A565" s="218"/>
      <c r="B565" s="218"/>
      <c r="C565" s="218"/>
      <c r="D565" s="218"/>
      <c r="E565" s="218"/>
      <c r="F565" s="218"/>
      <c r="G565" s="218"/>
      <c r="H565" s="218"/>
      <c r="I565" s="218"/>
      <c r="J565" s="218"/>
      <c r="K565" s="218"/>
      <c r="L565" s="218"/>
      <c r="M565" s="218"/>
      <c r="N565" s="218"/>
      <c r="O565" s="218"/>
      <c r="P565" s="218"/>
      <c r="Q565" s="218"/>
    </row>
    <row r="566">
      <c r="A566" s="218"/>
      <c r="B566" s="218"/>
      <c r="C566" s="218"/>
      <c r="D566" s="218"/>
      <c r="E566" s="218"/>
      <c r="F566" s="218"/>
      <c r="G566" s="218"/>
      <c r="H566" s="218"/>
      <c r="I566" s="218"/>
      <c r="J566" s="218"/>
      <c r="K566" s="218"/>
      <c r="L566" s="218"/>
      <c r="M566" s="218"/>
      <c r="N566" s="218"/>
      <c r="O566" s="218"/>
      <c r="P566" s="218"/>
      <c r="Q566" s="218"/>
    </row>
    <row r="567">
      <c r="A567" s="218"/>
      <c r="B567" s="218"/>
      <c r="C567" s="218"/>
      <c r="D567" s="218"/>
      <c r="E567" s="218"/>
      <c r="F567" s="218"/>
      <c r="G567" s="218"/>
      <c r="H567" s="218"/>
      <c r="I567" s="218"/>
      <c r="J567" s="218"/>
      <c r="K567" s="218"/>
      <c r="L567" s="218"/>
      <c r="M567" s="218"/>
      <c r="N567" s="218"/>
      <c r="O567" s="218"/>
      <c r="P567" s="218"/>
      <c r="Q567" s="218"/>
    </row>
    <row r="568">
      <c r="A568" s="218"/>
      <c r="B568" s="218"/>
      <c r="C568" s="218"/>
      <c r="D568" s="218"/>
      <c r="E568" s="218"/>
      <c r="F568" s="218"/>
      <c r="G568" s="218"/>
      <c r="H568" s="218"/>
      <c r="I568" s="218"/>
      <c r="J568" s="218"/>
      <c r="K568" s="218"/>
      <c r="L568" s="218"/>
      <c r="M568" s="218"/>
      <c r="N568" s="218"/>
      <c r="O568" s="218"/>
      <c r="P568" s="218"/>
      <c r="Q568" s="218"/>
    </row>
    <row r="569">
      <c r="A569" s="218"/>
      <c r="B569" s="218"/>
      <c r="C569" s="218"/>
      <c r="D569" s="218"/>
      <c r="E569" s="218"/>
      <c r="F569" s="218"/>
      <c r="G569" s="218"/>
      <c r="H569" s="218"/>
      <c r="I569" s="218"/>
      <c r="J569" s="218"/>
      <c r="K569" s="218"/>
      <c r="L569" s="218"/>
      <c r="M569" s="218"/>
      <c r="N569" s="218"/>
      <c r="O569" s="218"/>
      <c r="P569" s="218"/>
      <c r="Q569" s="218"/>
    </row>
    <row r="570">
      <c r="A570" s="218"/>
      <c r="B570" s="218"/>
      <c r="C570" s="218"/>
      <c r="D570" s="218"/>
      <c r="E570" s="218"/>
      <c r="F570" s="218"/>
      <c r="G570" s="218"/>
      <c r="H570" s="218"/>
      <c r="I570" s="218"/>
      <c r="J570" s="218"/>
      <c r="K570" s="218"/>
      <c r="L570" s="218"/>
      <c r="M570" s="218"/>
      <c r="N570" s="218"/>
      <c r="O570" s="218"/>
      <c r="P570" s="218"/>
      <c r="Q570" s="218"/>
    </row>
    <row r="571">
      <c r="A571" s="218"/>
      <c r="B571" s="218"/>
      <c r="C571" s="218"/>
      <c r="D571" s="218"/>
      <c r="E571" s="218"/>
      <c r="F571" s="218"/>
      <c r="G571" s="218"/>
      <c r="H571" s="218"/>
      <c r="I571" s="218"/>
      <c r="J571" s="218"/>
      <c r="K571" s="218"/>
      <c r="L571" s="218"/>
      <c r="M571" s="218"/>
      <c r="N571" s="218"/>
      <c r="O571" s="218"/>
      <c r="P571" s="218"/>
      <c r="Q571" s="218"/>
    </row>
    <row r="572">
      <c r="A572" s="218"/>
      <c r="B572" s="218"/>
      <c r="C572" s="218"/>
      <c r="D572" s="218"/>
      <c r="E572" s="218"/>
      <c r="F572" s="218"/>
      <c r="G572" s="218"/>
      <c r="H572" s="218"/>
      <c r="I572" s="218"/>
      <c r="J572" s="218"/>
      <c r="K572" s="218"/>
      <c r="L572" s="218"/>
      <c r="M572" s="218"/>
      <c r="N572" s="218"/>
      <c r="O572" s="218"/>
      <c r="P572" s="218"/>
      <c r="Q572" s="218"/>
    </row>
    <row r="573">
      <c r="A573" s="218"/>
      <c r="B573" s="218"/>
      <c r="C573" s="218"/>
      <c r="D573" s="218"/>
      <c r="E573" s="218"/>
      <c r="F573" s="218"/>
      <c r="G573" s="218"/>
      <c r="H573" s="218"/>
      <c r="I573" s="218"/>
      <c r="J573" s="218"/>
      <c r="K573" s="218"/>
      <c r="L573" s="218"/>
      <c r="M573" s="218"/>
      <c r="N573" s="218"/>
      <c r="O573" s="218"/>
      <c r="P573" s="218"/>
      <c r="Q573" s="218"/>
    </row>
    <row r="574">
      <c r="A574" s="218"/>
      <c r="B574" s="218"/>
      <c r="C574" s="218"/>
      <c r="D574" s="218"/>
      <c r="E574" s="218"/>
      <c r="F574" s="218"/>
      <c r="G574" s="218"/>
      <c r="H574" s="218"/>
      <c r="I574" s="218"/>
      <c r="J574" s="218"/>
      <c r="K574" s="218"/>
      <c r="L574" s="218"/>
      <c r="M574" s="218"/>
      <c r="N574" s="218"/>
      <c r="O574" s="218"/>
      <c r="P574" s="218"/>
      <c r="Q574" s="218"/>
    </row>
    <row r="575">
      <c r="A575" s="218"/>
      <c r="B575" s="218"/>
      <c r="C575" s="218"/>
      <c r="D575" s="218"/>
      <c r="E575" s="218"/>
      <c r="F575" s="218"/>
      <c r="G575" s="218"/>
      <c r="H575" s="218"/>
      <c r="I575" s="218"/>
      <c r="J575" s="218"/>
      <c r="K575" s="218"/>
      <c r="L575" s="218"/>
      <c r="M575" s="218"/>
      <c r="N575" s="218"/>
      <c r="O575" s="218"/>
      <c r="P575" s="218"/>
      <c r="Q575" s="218"/>
    </row>
    <row r="576">
      <c r="A576" s="218"/>
      <c r="B576" s="218"/>
      <c r="C576" s="218"/>
      <c r="D576" s="218"/>
      <c r="E576" s="218"/>
      <c r="F576" s="218"/>
      <c r="G576" s="218"/>
      <c r="H576" s="218"/>
      <c r="I576" s="218"/>
      <c r="J576" s="218"/>
      <c r="K576" s="218"/>
      <c r="L576" s="218"/>
      <c r="M576" s="218"/>
      <c r="N576" s="218"/>
      <c r="O576" s="218"/>
      <c r="P576" s="218"/>
      <c r="Q576" s="218"/>
    </row>
    <row r="577">
      <c r="A577" s="218"/>
      <c r="B577" s="218"/>
      <c r="C577" s="218"/>
      <c r="D577" s="218"/>
      <c r="E577" s="218"/>
      <c r="F577" s="218"/>
      <c r="G577" s="218"/>
      <c r="H577" s="218"/>
      <c r="I577" s="218"/>
      <c r="J577" s="218"/>
      <c r="K577" s="218"/>
      <c r="L577" s="218"/>
      <c r="M577" s="218"/>
      <c r="N577" s="218"/>
      <c r="O577" s="218"/>
      <c r="P577" s="218"/>
      <c r="Q577" s="218"/>
    </row>
    <row r="578">
      <c r="A578" s="218"/>
      <c r="B578" s="218"/>
      <c r="C578" s="218"/>
      <c r="D578" s="218"/>
      <c r="E578" s="218"/>
      <c r="F578" s="218"/>
      <c r="G578" s="218"/>
      <c r="H578" s="218"/>
      <c r="I578" s="218"/>
      <c r="J578" s="218"/>
      <c r="K578" s="218"/>
      <c r="L578" s="218"/>
      <c r="M578" s="218"/>
      <c r="N578" s="218"/>
      <c r="O578" s="218"/>
      <c r="P578" s="218"/>
      <c r="Q578" s="218"/>
    </row>
    <row r="579">
      <c r="A579" s="218"/>
      <c r="B579" s="218"/>
      <c r="C579" s="218"/>
      <c r="D579" s="218"/>
      <c r="E579" s="218"/>
      <c r="F579" s="218"/>
      <c r="G579" s="218"/>
      <c r="H579" s="218"/>
      <c r="I579" s="218"/>
      <c r="J579" s="218"/>
      <c r="K579" s="218"/>
      <c r="L579" s="218"/>
      <c r="M579" s="218"/>
      <c r="N579" s="218"/>
      <c r="O579" s="218"/>
      <c r="P579" s="218"/>
      <c r="Q579" s="218"/>
    </row>
    <row r="580">
      <c r="A580" s="218"/>
      <c r="B580" s="218"/>
      <c r="C580" s="218"/>
      <c r="D580" s="218"/>
      <c r="E580" s="218"/>
      <c r="F580" s="218"/>
      <c r="G580" s="218"/>
      <c r="H580" s="218"/>
      <c r="I580" s="218"/>
      <c r="J580" s="218"/>
      <c r="K580" s="218"/>
      <c r="L580" s="218"/>
      <c r="M580" s="218"/>
      <c r="N580" s="218"/>
      <c r="O580" s="218"/>
      <c r="P580" s="218"/>
      <c r="Q580" s="218"/>
    </row>
    <row r="581">
      <c r="A581" s="218"/>
      <c r="B581" s="218"/>
      <c r="C581" s="218"/>
      <c r="D581" s="218"/>
      <c r="E581" s="218"/>
      <c r="F581" s="218"/>
      <c r="G581" s="218"/>
      <c r="H581" s="218"/>
      <c r="I581" s="218"/>
      <c r="J581" s="218"/>
      <c r="K581" s="218"/>
      <c r="L581" s="218"/>
      <c r="M581" s="218"/>
      <c r="N581" s="218"/>
      <c r="O581" s="218"/>
      <c r="P581" s="218"/>
      <c r="Q581" s="218"/>
    </row>
    <row r="582">
      <c r="A582" s="218"/>
      <c r="B582" s="218"/>
      <c r="C582" s="218"/>
      <c r="D582" s="218"/>
      <c r="E582" s="218"/>
      <c r="F582" s="218"/>
      <c r="G582" s="218"/>
      <c r="H582" s="218"/>
      <c r="I582" s="218"/>
      <c r="J582" s="218"/>
      <c r="K582" s="218"/>
      <c r="L582" s="218"/>
      <c r="M582" s="218"/>
      <c r="N582" s="218"/>
      <c r="O582" s="218"/>
      <c r="P582" s="218"/>
      <c r="Q582" s="218"/>
    </row>
    <row r="583">
      <c r="A583" s="218"/>
      <c r="B583" s="218"/>
      <c r="C583" s="218"/>
      <c r="D583" s="218"/>
      <c r="E583" s="218"/>
      <c r="F583" s="218"/>
      <c r="G583" s="218"/>
      <c r="H583" s="218"/>
      <c r="I583" s="218"/>
      <c r="J583" s="218"/>
      <c r="K583" s="218"/>
      <c r="L583" s="218"/>
      <c r="M583" s="218"/>
      <c r="N583" s="218"/>
      <c r="O583" s="218"/>
      <c r="P583" s="218"/>
      <c r="Q583" s="218"/>
    </row>
    <row r="584">
      <c r="A584" s="218"/>
      <c r="B584" s="218"/>
      <c r="C584" s="218"/>
      <c r="D584" s="218"/>
      <c r="E584" s="218"/>
      <c r="F584" s="218"/>
      <c r="G584" s="218"/>
      <c r="H584" s="218"/>
      <c r="I584" s="218"/>
      <c r="J584" s="218"/>
      <c r="K584" s="218"/>
      <c r="L584" s="218"/>
      <c r="M584" s="218"/>
      <c r="N584" s="218"/>
      <c r="O584" s="218"/>
      <c r="P584" s="218"/>
      <c r="Q584" s="218"/>
    </row>
    <row r="585">
      <c r="A585" s="218"/>
      <c r="B585" s="218"/>
      <c r="C585" s="218"/>
      <c r="D585" s="218"/>
      <c r="E585" s="218"/>
      <c r="F585" s="218"/>
      <c r="G585" s="218"/>
      <c r="H585" s="218"/>
      <c r="I585" s="218"/>
      <c r="J585" s="218"/>
      <c r="K585" s="218"/>
      <c r="L585" s="218"/>
      <c r="M585" s="218"/>
      <c r="N585" s="218"/>
      <c r="O585" s="218"/>
      <c r="P585" s="218"/>
      <c r="Q585" s="218"/>
    </row>
    <row r="586">
      <c r="A586" s="218"/>
      <c r="B586" s="218"/>
      <c r="C586" s="218"/>
      <c r="D586" s="218"/>
      <c r="E586" s="218"/>
      <c r="F586" s="218"/>
      <c r="G586" s="218"/>
      <c r="H586" s="218"/>
      <c r="I586" s="218"/>
      <c r="J586" s="218"/>
      <c r="K586" s="218"/>
      <c r="L586" s="218"/>
      <c r="M586" s="218"/>
      <c r="N586" s="218"/>
      <c r="O586" s="218"/>
      <c r="P586" s="218"/>
      <c r="Q586" s="218"/>
    </row>
    <row r="587">
      <c r="A587" s="218"/>
      <c r="B587" s="218"/>
      <c r="C587" s="218"/>
      <c r="D587" s="218"/>
      <c r="E587" s="218"/>
      <c r="F587" s="218"/>
      <c r="G587" s="218"/>
      <c r="H587" s="218"/>
      <c r="I587" s="218"/>
      <c r="J587" s="218"/>
      <c r="K587" s="218"/>
      <c r="L587" s="218"/>
      <c r="M587" s="218"/>
      <c r="N587" s="218"/>
      <c r="O587" s="218"/>
      <c r="P587" s="218"/>
      <c r="Q587" s="218"/>
    </row>
    <row r="588">
      <c r="A588" s="218"/>
      <c r="B588" s="218"/>
      <c r="C588" s="218"/>
      <c r="D588" s="218"/>
      <c r="E588" s="218"/>
      <c r="F588" s="218"/>
      <c r="G588" s="218"/>
      <c r="H588" s="218"/>
      <c r="I588" s="218"/>
      <c r="J588" s="218"/>
      <c r="K588" s="218"/>
      <c r="L588" s="218"/>
      <c r="M588" s="218"/>
      <c r="N588" s="218"/>
      <c r="O588" s="218"/>
      <c r="P588" s="218"/>
      <c r="Q588" s="218"/>
    </row>
    <row r="589">
      <c r="A589" s="218"/>
      <c r="B589" s="218"/>
      <c r="C589" s="218"/>
      <c r="D589" s="218"/>
      <c r="E589" s="218"/>
      <c r="F589" s="218"/>
      <c r="G589" s="218"/>
      <c r="H589" s="218"/>
      <c r="I589" s="218"/>
      <c r="J589" s="218"/>
      <c r="K589" s="218"/>
      <c r="L589" s="218"/>
      <c r="M589" s="218"/>
      <c r="N589" s="218"/>
      <c r="O589" s="218"/>
      <c r="P589" s="218"/>
      <c r="Q589" s="218"/>
    </row>
    <row r="590">
      <c r="A590" s="218"/>
      <c r="B590" s="218"/>
      <c r="C590" s="218"/>
      <c r="D590" s="218"/>
      <c r="E590" s="218"/>
      <c r="F590" s="218"/>
      <c r="G590" s="218"/>
      <c r="H590" s="218"/>
      <c r="I590" s="218"/>
      <c r="J590" s="218"/>
      <c r="K590" s="218"/>
      <c r="L590" s="218"/>
      <c r="M590" s="218"/>
      <c r="N590" s="218"/>
      <c r="O590" s="218"/>
      <c r="P590" s="218"/>
      <c r="Q590" s="218"/>
    </row>
    <row r="591">
      <c r="A591" s="218"/>
      <c r="B591" s="218"/>
      <c r="C591" s="218"/>
      <c r="D591" s="218"/>
      <c r="E591" s="218"/>
      <c r="F591" s="218"/>
      <c r="G591" s="218"/>
      <c r="H591" s="218"/>
      <c r="I591" s="218"/>
      <c r="J591" s="218"/>
      <c r="K591" s="218"/>
      <c r="L591" s="218"/>
      <c r="M591" s="218"/>
      <c r="N591" s="218"/>
      <c r="O591" s="218"/>
      <c r="P591" s="218"/>
      <c r="Q591" s="218"/>
    </row>
    <row r="592">
      <c r="A592" s="218"/>
      <c r="B592" s="218"/>
      <c r="C592" s="218"/>
      <c r="D592" s="218"/>
      <c r="E592" s="218"/>
      <c r="F592" s="218"/>
      <c r="G592" s="218"/>
      <c r="H592" s="218"/>
      <c r="I592" s="218"/>
      <c r="J592" s="218"/>
      <c r="K592" s="218"/>
      <c r="L592" s="218"/>
      <c r="M592" s="218"/>
      <c r="N592" s="218"/>
      <c r="O592" s="218"/>
      <c r="P592" s="218"/>
      <c r="Q592" s="218"/>
    </row>
    <row r="593">
      <c r="A593" s="218"/>
      <c r="B593" s="218"/>
      <c r="C593" s="218"/>
      <c r="D593" s="218"/>
      <c r="E593" s="218"/>
      <c r="F593" s="218"/>
      <c r="G593" s="218"/>
      <c r="H593" s="218"/>
      <c r="I593" s="218"/>
      <c r="J593" s="218"/>
      <c r="K593" s="218"/>
      <c r="L593" s="218"/>
      <c r="M593" s="218"/>
      <c r="N593" s="218"/>
      <c r="O593" s="218"/>
      <c r="P593" s="218"/>
      <c r="Q593" s="218"/>
    </row>
    <row r="594">
      <c r="A594" s="218"/>
      <c r="B594" s="218"/>
      <c r="C594" s="218"/>
      <c r="D594" s="218"/>
      <c r="E594" s="218"/>
      <c r="F594" s="218"/>
      <c r="G594" s="218"/>
      <c r="H594" s="218"/>
      <c r="I594" s="218"/>
      <c r="J594" s="218"/>
      <c r="K594" s="218"/>
      <c r="L594" s="218"/>
      <c r="M594" s="218"/>
      <c r="N594" s="218"/>
      <c r="O594" s="218"/>
      <c r="P594" s="218"/>
      <c r="Q594" s="218"/>
    </row>
    <row r="595">
      <c r="A595" s="218"/>
      <c r="B595" s="218"/>
      <c r="C595" s="218"/>
      <c r="D595" s="218"/>
      <c r="E595" s="218"/>
      <c r="F595" s="218"/>
      <c r="G595" s="218"/>
      <c r="H595" s="218"/>
      <c r="I595" s="218"/>
      <c r="J595" s="218"/>
      <c r="K595" s="218"/>
      <c r="L595" s="218"/>
      <c r="M595" s="218"/>
      <c r="N595" s="218"/>
      <c r="O595" s="218"/>
      <c r="P595" s="218"/>
      <c r="Q595" s="218"/>
    </row>
    <row r="596">
      <c r="A596" s="218"/>
      <c r="B596" s="218"/>
      <c r="C596" s="218"/>
      <c r="D596" s="218"/>
      <c r="E596" s="218"/>
      <c r="F596" s="218"/>
      <c r="G596" s="218"/>
      <c r="H596" s="218"/>
      <c r="I596" s="218"/>
      <c r="J596" s="218"/>
      <c r="K596" s="218"/>
      <c r="L596" s="218"/>
      <c r="M596" s="218"/>
      <c r="N596" s="218"/>
      <c r="O596" s="218"/>
      <c r="P596" s="218"/>
      <c r="Q596" s="218"/>
    </row>
    <row r="597">
      <c r="A597" s="218"/>
      <c r="B597" s="218"/>
      <c r="C597" s="218"/>
      <c r="D597" s="218"/>
      <c r="E597" s="218"/>
      <c r="F597" s="218"/>
      <c r="G597" s="218"/>
      <c r="H597" s="218"/>
      <c r="I597" s="218"/>
      <c r="J597" s="218"/>
      <c r="K597" s="218"/>
      <c r="L597" s="218"/>
      <c r="M597" s="218"/>
      <c r="N597" s="218"/>
      <c r="O597" s="218"/>
      <c r="P597" s="218"/>
      <c r="Q597" s="218"/>
    </row>
    <row r="598">
      <c r="A598" s="218"/>
      <c r="B598" s="218"/>
      <c r="C598" s="218"/>
      <c r="D598" s="218"/>
      <c r="E598" s="218"/>
      <c r="F598" s="218"/>
      <c r="G598" s="218"/>
      <c r="H598" s="218"/>
      <c r="I598" s="218"/>
      <c r="J598" s="218"/>
      <c r="K598" s="218"/>
      <c r="L598" s="218"/>
      <c r="M598" s="218"/>
      <c r="N598" s="218"/>
      <c r="O598" s="218"/>
      <c r="P598" s="218"/>
      <c r="Q598" s="218"/>
    </row>
    <row r="599">
      <c r="A599" s="218"/>
      <c r="B599" s="218"/>
      <c r="C599" s="218"/>
      <c r="D599" s="218"/>
      <c r="E599" s="218"/>
      <c r="F599" s="218"/>
      <c r="G599" s="218"/>
      <c r="H599" s="218"/>
      <c r="I599" s="218"/>
      <c r="J599" s="218"/>
      <c r="K599" s="218"/>
      <c r="L599" s="218"/>
      <c r="M599" s="218"/>
      <c r="N599" s="218"/>
      <c r="O599" s="218"/>
      <c r="P599" s="218"/>
      <c r="Q599" s="218"/>
    </row>
    <row r="600">
      <c r="A600" s="218"/>
      <c r="B600" s="218"/>
      <c r="C600" s="218"/>
      <c r="D600" s="218"/>
      <c r="E600" s="218"/>
      <c r="F600" s="218"/>
      <c r="G600" s="218"/>
      <c r="H600" s="218"/>
      <c r="I600" s="218"/>
      <c r="J600" s="218"/>
      <c r="K600" s="218"/>
      <c r="L600" s="218"/>
      <c r="M600" s="218"/>
      <c r="N600" s="218"/>
      <c r="O600" s="218"/>
      <c r="P600" s="218"/>
      <c r="Q600" s="218"/>
    </row>
    <row r="601">
      <c r="A601" s="218"/>
      <c r="B601" s="218"/>
      <c r="C601" s="218"/>
      <c r="D601" s="218"/>
      <c r="E601" s="218"/>
      <c r="F601" s="218"/>
      <c r="G601" s="218"/>
      <c r="H601" s="218"/>
      <c r="I601" s="218"/>
      <c r="J601" s="218"/>
      <c r="K601" s="218"/>
      <c r="L601" s="218"/>
      <c r="M601" s="218"/>
      <c r="N601" s="218"/>
      <c r="O601" s="218"/>
      <c r="P601" s="218"/>
      <c r="Q601" s="218"/>
    </row>
    <row r="602">
      <c r="A602" s="218"/>
      <c r="B602" s="218"/>
      <c r="C602" s="218"/>
      <c r="D602" s="218"/>
      <c r="E602" s="218"/>
      <c r="F602" s="218"/>
      <c r="G602" s="218"/>
      <c r="H602" s="218"/>
      <c r="I602" s="218"/>
      <c r="J602" s="218"/>
      <c r="K602" s="218"/>
      <c r="L602" s="218"/>
      <c r="M602" s="218"/>
      <c r="N602" s="218"/>
      <c r="O602" s="218"/>
      <c r="P602" s="218"/>
      <c r="Q602" s="218"/>
    </row>
    <row r="603">
      <c r="A603" s="218"/>
      <c r="B603" s="218"/>
      <c r="C603" s="218"/>
      <c r="D603" s="218"/>
      <c r="E603" s="218"/>
      <c r="F603" s="218"/>
      <c r="G603" s="218"/>
      <c r="H603" s="218"/>
      <c r="I603" s="218"/>
      <c r="J603" s="218"/>
      <c r="K603" s="218"/>
      <c r="L603" s="218"/>
      <c r="M603" s="218"/>
      <c r="N603" s="218"/>
      <c r="O603" s="218"/>
      <c r="P603" s="218"/>
      <c r="Q603" s="218"/>
    </row>
    <row r="604">
      <c r="A604" s="218"/>
      <c r="B604" s="218"/>
      <c r="C604" s="218"/>
      <c r="D604" s="218"/>
      <c r="E604" s="218"/>
      <c r="F604" s="218"/>
      <c r="G604" s="218"/>
      <c r="H604" s="218"/>
      <c r="I604" s="218"/>
      <c r="J604" s="218"/>
      <c r="K604" s="218"/>
      <c r="L604" s="218"/>
      <c r="M604" s="218"/>
      <c r="N604" s="218"/>
      <c r="O604" s="218"/>
      <c r="P604" s="218"/>
      <c r="Q604" s="218"/>
    </row>
    <row r="605">
      <c r="A605" s="218"/>
      <c r="B605" s="218"/>
      <c r="C605" s="218"/>
      <c r="D605" s="218"/>
      <c r="E605" s="218"/>
      <c r="F605" s="218"/>
      <c r="G605" s="218"/>
      <c r="H605" s="218"/>
      <c r="I605" s="218"/>
      <c r="J605" s="218"/>
      <c r="K605" s="218"/>
      <c r="L605" s="218"/>
      <c r="M605" s="218"/>
      <c r="N605" s="218"/>
      <c r="O605" s="218"/>
      <c r="P605" s="218"/>
      <c r="Q605" s="218"/>
    </row>
    <row r="606">
      <c r="A606" s="218"/>
      <c r="B606" s="218"/>
      <c r="C606" s="218"/>
      <c r="D606" s="218"/>
      <c r="E606" s="218"/>
      <c r="F606" s="218"/>
      <c r="G606" s="218"/>
      <c r="H606" s="218"/>
      <c r="I606" s="218"/>
      <c r="J606" s="218"/>
      <c r="K606" s="218"/>
      <c r="L606" s="218"/>
      <c r="M606" s="218"/>
      <c r="N606" s="218"/>
      <c r="O606" s="218"/>
      <c r="P606" s="218"/>
      <c r="Q606" s="218"/>
    </row>
    <row r="607">
      <c r="A607" s="218"/>
      <c r="B607" s="218"/>
      <c r="C607" s="218"/>
      <c r="D607" s="218"/>
      <c r="E607" s="218"/>
      <c r="F607" s="218"/>
      <c r="G607" s="218"/>
      <c r="H607" s="218"/>
      <c r="I607" s="218"/>
      <c r="J607" s="218"/>
      <c r="K607" s="218"/>
      <c r="L607" s="218"/>
      <c r="M607" s="218"/>
      <c r="N607" s="218"/>
      <c r="O607" s="218"/>
      <c r="P607" s="218"/>
      <c r="Q607" s="218"/>
    </row>
    <row r="608">
      <c r="A608" s="218"/>
      <c r="B608" s="218"/>
      <c r="C608" s="218"/>
      <c r="D608" s="218"/>
      <c r="E608" s="218"/>
      <c r="F608" s="218"/>
      <c r="G608" s="218"/>
      <c r="H608" s="218"/>
      <c r="I608" s="218"/>
      <c r="J608" s="218"/>
      <c r="K608" s="218"/>
      <c r="L608" s="218"/>
      <c r="M608" s="218"/>
      <c r="N608" s="218"/>
      <c r="O608" s="218"/>
      <c r="P608" s="218"/>
      <c r="Q608" s="218"/>
    </row>
    <row r="609">
      <c r="A609" s="218"/>
      <c r="B609" s="218"/>
      <c r="C609" s="218"/>
      <c r="D609" s="218"/>
      <c r="E609" s="218"/>
      <c r="F609" s="218"/>
      <c r="G609" s="218"/>
      <c r="H609" s="218"/>
      <c r="I609" s="218"/>
      <c r="J609" s="218"/>
      <c r="K609" s="218"/>
      <c r="L609" s="218"/>
      <c r="M609" s="218"/>
      <c r="N609" s="218"/>
      <c r="O609" s="218"/>
      <c r="P609" s="218"/>
      <c r="Q609" s="218"/>
    </row>
    <row r="610">
      <c r="A610" s="218"/>
      <c r="B610" s="218"/>
      <c r="C610" s="218"/>
      <c r="D610" s="218"/>
      <c r="E610" s="218"/>
      <c r="F610" s="218"/>
      <c r="G610" s="218"/>
      <c r="H610" s="218"/>
      <c r="I610" s="218"/>
      <c r="J610" s="218"/>
      <c r="K610" s="218"/>
      <c r="L610" s="218"/>
      <c r="M610" s="218"/>
      <c r="N610" s="218"/>
      <c r="O610" s="218"/>
      <c r="P610" s="218"/>
      <c r="Q610" s="218"/>
    </row>
    <row r="611">
      <c r="A611" s="218"/>
      <c r="B611" s="218"/>
      <c r="C611" s="218"/>
      <c r="D611" s="218"/>
      <c r="E611" s="218"/>
      <c r="F611" s="218"/>
      <c r="G611" s="218"/>
      <c r="H611" s="218"/>
      <c r="I611" s="218"/>
      <c r="J611" s="218"/>
      <c r="K611" s="218"/>
      <c r="L611" s="218"/>
      <c r="M611" s="218"/>
      <c r="N611" s="218"/>
      <c r="O611" s="218"/>
      <c r="P611" s="218"/>
      <c r="Q611" s="218"/>
    </row>
    <row r="612">
      <c r="A612" s="218"/>
      <c r="B612" s="218"/>
      <c r="C612" s="218"/>
      <c r="D612" s="218"/>
      <c r="E612" s="218"/>
      <c r="F612" s="218"/>
      <c r="G612" s="218"/>
      <c r="H612" s="218"/>
      <c r="I612" s="218"/>
      <c r="J612" s="218"/>
      <c r="K612" s="218"/>
      <c r="L612" s="218"/>
      <c r="M612" s="218"/>
      <c r="N612" s="218"/>
      <c r="O612" s="218"/>
      <c r="P612" s="218"/>
      <c r="Q612" s="218"/>
    </row>
    <row r="613">
      <c r="A613" s="218"/>
      <c r="B613" s="218"/>
      <c r="C613" s="218"/>
      <c r="D613" s="218"/>
      <c r="E613" s="218"/>
      <c r="F613" s="218"/>
      <c r="G613" s="218"/>
      <c r="H613" s="218"/>
      <c r="I613" s="218"/>
      <c r="J613" s="218"/>
      <c r="K613" s="218"/>
      <c r="L613" s="218"/>
      <c r="M613" s="218"/>
      <c r="N613" s="218"/>
      <c r="O613" s="218"/>
      <c r="P613" s="218"/>
      <c r="Q613" s="218"/>
    </row>
    <row r="614">
      <c r="A614" s="218"/>
      <c r="B614" s="218"/>
      <c r="C614" s="218"/>
      <c r="D614" s="218"/>
      <c r="E614" s="218"/>
      <c r="F614" s="218"/>
      <c r="G614" s="218"/>
      <c r="H614" s="218"/>
      <c r="I614" s="218"/>
      <c r="J614" s="218"/>
      <c r="K614" s="218"/>
      <c r="L614" s="218"/>
      <c r="M614" s="218"/>
      <c r="N614" s="218"/>
      <c r="O614" s="218"/>
      <c r="P614" s="218"/>
      <c r="Q614" s="218"/>
    </row>
    <row r="615">
      <c r="A615" s="218"/>
      <c r="B615" s="218"/>
      <c r="C615" s="218"/>
      <c r="D615" s="218"/>
      <c r="E615" s="218"/>
      <c r="F615" s="218"/>
      <c r="G615" s="218"/>
      <c r="H615" s="218"/>
      <c r="I615" s="218"/>
      <c r="J615" s="218"/>
      <c r="K615" s="218"/>
      <c r="L615" s="218"/>
      <c r="M615" s="218"/>
      <c r="N615" s="218"/>
      <c r="O615" s="218"/>
      <c r="P615" s="218"/>
      <c r="Q615" s="218"/>
    </row>
    <row r="616">
      <c r="A616" s="218"/>
      <c r="B616" s="218"/>
      <c r="C616" s="218"/>
      <c r="D616" s="218"/>
      <c r="E616" s="218"/>
      <c r="F616" s="218"/>
      <c r="G616" s="218"/>
      <c r="H616" s="218"/>
      <c r="I616" s="218"/>
      <c r="J616" s="218"/>
      <c r="K616" s="218"/>
      <c r="L616" s="218"/>
      <c r="M616" s="218"/>
      <c r="N616" s="218"/>
      <c r="O616" s="218"/>
      <c r="P616" s="218"/>
      <c r="Q616" s="218"/>
    </row>
    <row r="617">
      <c r="A617" s="218"/>
      <c r="B617" s="218"/>
      <c r="C617" s="218"/>
      <c r="D617" s="218"/>
      <c r="E617" s="218"/>
      <c r="F617" s="218"/>
      <c r="G617" s="218"/>
      <c r="H617" s="218"/>
      <c r="I617" s="218"/>
      <c r="J617" s="218"/>
      <c r="K617" s="218"/>
      <c r="L617" s="218"/>
      <c r="M617" s="218"/>
      <c r="N617" s="218"/>
      <c r="O617" s="218"/>
      <c r="P617" s="218"/>
      <c r="Q617" s="218"/>
    </row>
    <row r="618">
      <c r="A618" s="218"/>
      <c r="B618" s="218"/>
      <c r="C618" s="218"/>
      <c r="D618" s="218"/>
      <c r="E618" s="218"/>
      <c r="F618" s="218"/>
      <c r="G618" s="218"/>
      <c r="H618" s="218"/>
      <c r="I618" s="218"/>
      <c r="J618" s="218"/>
      <c r="K618" s="218"/>
      <c r="L618" s="218"/>
      <c r="M618" s="218"/>
      <c r="N618" s="218"/>
      <c r="O618" s="218"/>
      <c r="P618" s="218"/>
      <c r="Q618" s="218"/>
    </row>
    <row r="619">
      <c r="A619" s="218"/>
      <c r="B619" s="218"/>
      <c r="C619" s="218"/>
      <c r="D619" s="218"/>
      <c r="E619" s="218"/>
      <c r="F619" s="218"/>
      <c r="G619" s="218"/>
      <c r="H619" s="218"/>
      <c r="I619" s="218"/>
      <c r="J619" s="218"/>
      <c r="K619" s="218"/>
      <c r="L619" s="218"/>
      <c r="M619" s="218"/>
      <c r="N619" s="218"/>
      <c r="O619" s="218"/>
      <c r="P619" s="218"/>
      <c r="Q619" s="218"/>
    </row>
    <row r="620">
      <c r="A620" s="218"/>
      <c r="B620" s="218"/>
      <c r="C620" s="218"/>
      <c r="D620" s="218"/>
      <c r="E620" s="218"/>
      <c r="F620" s="218"/>
      <c r="G620" s="218"/>
      <c r="H620" s="218"/>
      <c r="I620" s="218"/>
      <c r="J620" s="218"/>
      <c r="K620" s="218"/>
      <c r="L620" s="218"/>
      <c r="M620" s="218"/>
      <c r="N620" s="218"/>
      <c r="O620" s="218"/>
      <c r="P620" s="218"/>
      <c r="Q620" s="218"/>
    </row>
    <row r="621">
      <c r="A621" s="218"/>
      <c r="B621" s="218"/>
      <c r="C621" s="218"/>
      <c r="D621" s="218"/>
      <c r="E621" s="218"/>
      <c r="F621" s="218"/>
      <c r="G621" s="218"/>
      <c r="H621" s="218"/>
      <c r="I621" s="218"/>
      <c r="J621" s="218"/>
      <c r="K621" s="218"/>
      <c r="L621" s="218"/>
      <c r="M621" s="218"/>
      <c r="N621" s="218"/>
      <c r="O621" s="218"/>
      <c r="P621" s="218"/>
      <c r="Q621" s="218"/>
    </row>
    <row r="622">
      <c r="A622" s="218"/>
      <c r="B622" s="218"/>
      <c r="C622" s="218"/>
      <c r="D622" s="218"/>
      <c r="E622" s="218"/>
      <c r="F622" s="218"/>
      <c r="G622" s="218"/>
      <c r="H622" s="218"/>
      <c r="I622" s="218"/>
      <c r="J622" s="218"/>
      <c r="K622" s="218"/>
      <c r="L622" s="218"/>
      <c r="M622" s="218"/>
      <c r="N622" s="218"/>
      <c r="O622" s="218"/>
      <c r="P622" s="218"/>
      <c r="Q622" s="218"/>
    </row>
    <row r="623">
      <c r="A623" s="218"/>
      <c r="B623" s="218"/>
      <c r="C623" s="218"/>
      <c r="D623" s="218"/>
      <c r="E623" s="218"/>
      <c r="F623" s="218"/>
      <c r="G623" s="218"/>
      <c r="H623" s="218"/>
      <c r="I623" s="218"/>
      <c r="J623" s="218"/>
      <c r="K623" s="218"/>
      <c r="L623" s="218"/>
      <c r="M623" s="218"/>
      <c r="N623" s="218"/>
      <c r="O623" s="218"/>
      <c r="P623" s="218"/>
      <c r="Q623" s="218"/>
    </row>
    <row r="624">
      <c r="A624" s="218"/>
      <c r="B624" s="218"/>
      <c r="C624" s="218"/>
      <c r="D624" s="218"/>
      <c r="E624" s="218"/>
      <c r="F624" s="218"/>
      <c r="G624" s="218"/>
      <c r="H624" s="218"/>
      <c r="I624" s="218"/>
      <c r="J624" s="218"/>
      <c r="K624" s="218"/>
      <c r="L624" s="218"/>
      <c r="M624" s="218"/>
      <c r="N624" s="218"/>
      <c r="O624" s="218"/>
      <c r="P624" s="218"/>
      <c r="Q624" s="218"/>
    </row>
    <row r="625">
      <c r="A625" s="218"/>
      <c r="B625" s="218"/>
      <c r="C625" s="218"/>
      <c r="D625" s="218"/>
      <c r="E625" s="218"/>
      <c r="F625" s="218"/>
      <c r="G625" s="218"/>
      <c r="H625" s="218"/>
      <c r="I625" s="218"/>
      <c r="J625" s="218"/>
      <c r="K625" s="218"/>
      <c r="L625" s="218"/>
      <c r="M625" s="218"/>
      <c r="N625" s="218"/>
      <c r="O625" s="218"/>
      <c r="P625" s="218"/>
      <c r="Q625" s="218"/>
    </row>
    <row r="626">
      <c r="A626" s="218"/>
      <c r="B626" s="218"/>
      <c r="C626" s="218"/>
      <c r="D626" s="218"/>
      <c r="E626" s="218"/>
      <c r="F626" s="218"/>
      <c r="G626" s="218"/>
      <c r="H626" s="218"/>
      <c r="I626" s="218"/>
      <c r="J626" s="218"/>
      <c r="K626" s="218"/>
      <c r="L626" s="218"/>
      <c r="M626" s="218"/>
      <c r="N626" s="218"/>
      <c r="O626" s="218"/>
      <c r="P626" s="218"/>
      <c r="Q626" s="218"/>
    </row>
    <row r="627">
      <c r="A627" s="218"/>
      <c r="B627" s="218"/>
      <c r="C627" s="218"/>
      <c r="D627" s="218"/>
      <c r="E627" s="218"/>
      <c r="F627" s="218"/>
      <c r="G627" s="218"/>
      <c r="H627" s="218"/>
      <c r="I627" s="218"/>
      <c r="J627" s="218"/>
      <c r="K627" s="218"/>
      <c r="L627" s="218"/>
      <c r="M627" s="218"/>
      <c r="N627" s="218"/>
      <c r="O627" s="218"/>
      <c r="P627" s="218"/>
      <c r="Q627" s="218"/>
    </row>
    <row r="628">
      <c r="A628" s="218"/>
      <c r="B628" s="218"/>
      <c r="C628" s="218"/>
      <c r="D628" s="218"/>
      <c r="E628" s="218"/>
      <c r="F628" s="218"/>
      <c r="G628" s="218"/>
      <c r="H628" s="218"/>
      <c r="I628" s="218"/>
      <c r="J628" s="218"/>
      <c r="K628" s="218"/>
      <c r="L628" s="218"/>
      <c r="M628" s="218"/>
      <c r="N628" s="218"/>
      <c r="O628" s="218"/>
      <c r="P628" s="218"/>
      <c r="Q628" s="218"/>
    </row>
    <row r="629">
      <c r="A629" s="218"/>
      <c r="B629" s="218"/>
      <c r="C629" s="218"/>
      <c r="D629" s="218"/>
      <c r="E629" s="218"/>
      <c r="F629" s="218"/>
      <c r="G629" s="218"/>
      <c r="H629" s="218"/>
      <c r="I629" s="218"/>
      <c r="J629" s="218"/>
      <c r="K629" s="218"/>
      <c r="L629" s="218"/>
      <c r="M629" s="218"/>
      <c r="N629" s="218"/>
      <c r="O629" s="218"/>
      <c r="P629" s="218"/>
      <c r="Q629" s="218"/>
    </row>
    <row r="630">
      <c r="A630" s="218"/>
      <c r="B630" s="218"/>
      <c r="C630" s="218"/>
      <c r="D630" s="218"/>
      <c r="E630" s="218"/>
      <c r="F630" s="218"/>
      <c r="G630" s="218"/>
      <c r="H630" s="218"/>
      <c r="I630" s="218"/>
      <c r="J630" s="218"/>
      <c r="K630" s="218"/>
      <c r="L630" s="218"/>
      <c r="M630" s="218"/>
      <c r="N630" s="218"/>
      <c r="O630" s="218"/>
      <c r="P630" s="218"/>
      <c r="Q630" s="218"/>
    </row>
    <row r="631">
      <c r="A631" s="218"/>
      <c r="B631" s="218"/>
      <c r="C631" s="218"/>
      <c r="D631" s="218"/>
      <c r="E631" s="218"/>
      <c r="F631" s="218"/>
      <c r="G631" s="218"/>
      <c r="H631" s="218"/>
      <c r="I631" s="218"/>
      <c r="J631" s="218"/>
      <c r="K631" s="218"/>
      <c r="L631" s="218"/>
      <c r="M631" s="218"/>
      <c r="N631" s="218"/>
      <c r="O631" s="218"/>
      <c r="P631" s="218"/>
      <c r="Q631" s="218"/>
    </row>
    <row r="632">
      <c r="A632" s="218"/>
      <c r="B632" s="218"/>
      <c r="C632" s="218"/>
      <c r="D632" s="218"/>
      <c r="E632" s="218"/>
      <c r="F632" s="218"/>
      <c r="G632" s="218"/>
      <c r="H632" s="218"/>
      <c r="I632" s="218"/>
      <c r="J632" s="218"/>
      <c r="K632" s="218"/>
      <c r="L632" s="218"/>
      <c r="M632" s="218"/>
      <c r="N632" s="218"/>
      <c r="O632" s="218"/>
      <c r="P632" s="218"/>
      <c r="Q632" s="218"/>
    </row>
    <row r="633">
      <c r="A633" s="218"/>
      <c r="B633" s="218"/>
      <c r="C633" s="218"/>
      <c r="D633" s="218"/>
      <c r="E633" s="218"/>
      <c r="F633" s="218"/>
      <c r="G633" s="218"/>
      <c r="H633" s="218"/>
      <c r="I633" s="218"/>
      <c r="J633" s="218"/>
      <c r="K633" s="218"/>
      <c r="L633" s="218"/>
      <c r="M633" s="218"/>
      <c r="N633" s="218"/>
      <c r="O633" s="218"/>
      <c r="P633" s="218"/>
      <c r="Q633" s="218"/>
    </row>
    <row r="634">
      <c r="A634" s="218"/>
      <c r="B634" s="218"/>
      <c r="C634" s="218"/>
      <c r="D634" s="218"/>
      <c r="E634" s="218"/>
      <c r="F634" s="218"/>
      <c r="G634" s="218"/>
      <c r="H634" s="218"/>
      <c r="I634" s="218"/>
      <c r="J634" s="218"/>
      <c r="K634" s="218"/>
      <c r="L634" s="218"/>
      <c r="M634" s="218"/>
      <c r="N634" s="218"/>
      <c r="O634" s="218"/>
      <c r="P634" s="218"/>
      <c r="Q634" s="218"/>
    </row>
    <row r="635">
      <c r="A635" s="218"/>
      <c r="B635" s="218"/>
      <c r="C635" s="218"/>
      <c r="D635" s="218"/>
      <c r="E635" s="218"/>
      <c r="F635" s="218"/>
      <c r="G635" s="218"/>
      <c r="H635" s="218"/>
      <c r="I635" s="218"/>
      <c r="J635" s="218"/>
      <c r="K635" s="218"/>
      <c r="L635" s="218"/>
      <c r="M635" s="218"/>
      <c r="N635" s="218"/>
      <c r="O635" s="218"/>
      <c r="P635" s="218"/>
      <c r="Q635" s="218"/>
    </row>
    <row r="636">
      <c r="A636" s="218"/>
      <c r="B636" s="218"/>
      <c r="C636" s="218"/>
      <c r="D636" s="218"/>
      <c r="E636" s="218"/>
      <c r="F636" s="218"/>
      <c r="G636" s="218"/>
      <c r="H636" s="218"/>
      <c r="I636" s="218"/>
      <c r="J636" s="218"/>
      <c r="K636" s="218"/>
      <c r="L636" s="218"/>
      <c r="M636" s="218"/>
      <c r="N636" s="218"/>
      <c r="O636" s="218"/>
      <c r="P636" s="218"/>
      <c r="Q636" s="218"/>
    </row>
    <row r="637">
      <c r="A637" s="218"/>
      <c r="B637" s="218"/>
      <c r="C637" s="218"/>
      <c r="D637" s="218"/>
      <c r="E637" s="218"/>
      <c r="F637" s="218"/>
      <c r="G637" s="218"/>
      <c r="H637" s="218"/>
      <c r="I637" s="218"/>
      <c r="J637" s="218"/>
      <c r="K637" s="218"/>
      <c r="L637" s="218"/>
      <c r="M637" s="218"/>
      <c r="N637" s="218"/>
      <c r="O637" s="218"/>
      <c r="P637" s="218"/>
      <c r="Q637" s="218"/>
    </row>
    <row r="638">
      <c r="A638" s="218"/>
      <c r="B638" s="218"/>
      <c r="C638" s="218"/>
      <c r="D638" s="218"/>
      <c r="E638" s="218"/>
      <c r="F638" s="218"/>
      <c r="G638" s="218"/>
      <c r="H638" s="218"/>
      <c r="I638" s="218"/>
      <c r="J638" s="218"/>
      <c r="K638" s="218"/>
      <c r="L638" s="218"/>
      <c r="M638" s="218"/>
      <c r="N638" s="218"/>
      <c r="O638" s="218"/>
      <c r="P638" s="218"/>
      <c r="Q638" s="218"/>
    </row>
    <row r="639">
      <c r="A639" s="218"/>
      <c r="B639" s="218"/>
      <c r="C639" s="218"/>
      <c r="D639" s="218"/>
      <c r="E639" s="218"/>
      <c r="F639" s="218"/>
      <c r="G639" s="218"/>
      <c r="H639" s="218"/>
      <c r="I639" s="218"/>
      <c r="J639" s="218"/>
      <c r="K639" s="218"/>
      <c r="L639" s="218"/>
      <c r="M639" s="218"/>
      <c r="N639" s="218"/>
      <c r="O639" s="218"/>
      <c r="P639" s="218"/>
      <c r="Q639" s="218"/>
    </row>
    <row r="640">
      <c r="A640" s="218"/>
      <c r="B640" s="218"/>
      <c r="C640" s="218"/>
      <c r="D640" s="218"/>
      <c r="E640" s="218"/>
      <c r="F640" s="218"/>
      <c r="G640" s="218"/>
      <c r="H640" s="218"/>
      <c r="I640" s="218"/>
      <c r="J640" s="218"/>
      <c r="K640" s="218"/>
      <c r="L640" s="218"/>
      <c r="M640" s="218"/>
      <c r="N640" s="218"/>
      <c r="O640" s="218"/>
      <c r="P640" s="218"/>
      <c r="Q640" s="218"/>
    </row>
    <row r="641">
      <c r="A641" s="218"/>
      <c r="B641" s="218"/>
      <c r="C641" s="218"/>
      <c r="D641" s="218"/>
      <c r="E641" s="218"/>
      <c r="F641" s="218"/>
      <c r="G641" s="218"/>
      <c r="H641" s="218"/>
      <c r="I641" s="218"/>
      <c r="J641" s="218"/>
      <c r="K641" s="218"/>
      <c r="L641" s="218"/>
      <c r="M641" s="218"/>
      <c r="N641" s="218"/>
      <c r="O641" s="218"/>
      <c r="P641" s="218"/>
      <c r="Q641" s="218"/>
    </row>
    <row r="642">
      <c r="A642" s="218"/>
      <c r="B642" s="218"/>
      <c r="C642" s="218"/>
      <c r="D642" s="218"/>
      <c r="E642" s="218"/>
      <c r="F642" s="218"/>
      <c r="G642" s="218"/>
      <c r="H642" s="218"/>
      <c r="I642" s="218"/>
      <c r="J642" s="218"/>
      <c r="K642" s="218"/>
      <c r="L642" s="218"/>
      <c r="M642" s="218"/>
      <c r="N642" s="218"/>
      <c r="O642" s="218"/>
      <c r="P642" s="218"/>
      <c r="Q642" s="218"/>
    </row>
    <row r="643">
      <c r="A643" s="218"/>
      <c r="B643" s="218"/>
      <c r="C643" s="218"/>
      <c r="D643" s="218"/>
      <c r="E643" s="218"/>
      <c r="F643" s="218"/>
      <c r="G643" s="218"/>
      <c r="H643" s="218"/>
      <c r="I643" s="218"/>
      <c r="J643" s="218"/>
      <c r="K643" s="218"/>
      <c r="L643" s="218"/>
      <c r="M643" s="218"/>
      <c r="N643" s="218"/>
      <c r="O643" s="218"/>
      <c r="P643" s="218"/>
      <c r="Q643" s="218"/>
    </row>
    <row r="644">
      <c r="A644" s="218"/>
      <c r="B644" s="218"/>
      <c r="C644" s="218"/>
      <c r="D644" s="218"/>
      <c r="E644" s="218"/>
      <c r="F644" s="218"/>
      <c r="G644" s="218"/>
      <c r="H644" s="218"/>
      <c r="I644" s="218"/>
      <c r="J644" s="218"/>
      <c r="K644" s="218"/>
      <c r="L644" s="218"/>
      <c r="M644" s="218"/>
      <c r="N644" s="218"/>
      <c r="O644" s="218"/>
      <c r="P644" s="218"/>
      <c r="Q644" s="218"/>
    </row>
    <row r="645">
      <c r="A645" s="218"/>
      <c r="B645" s="218"/>
      <c r="C645" s="218"/>
      <c r="D645" s="218"/>
      <c r="E645" s="218"/>
      <c r="F645" s="218"/>
      <c r="G645" s="218"/>
      <c r="H645" s="218"/>
      <c r="I645" s="218"/>
      <c r="J645" s="218"/>
      <c r="K645" s="218"/>
      <c r="L645" s="218"/>
      <c r="M645" s="218"/>
      <c r="N645" s="218"/>
      <c r="O645" s="218"/>
      <c r="P645" s="218"/>
      <c r="Q645" s="218"/>
    </row>
    <row r="646">
      <c r="A646" s="218"/>
      <c r="B646" s="218"/>
      <c r="C646" s="218"/>
      <c r="D646" s="218"/>
      <c r="E646" s="218"/>
      <c r="F646" s="218"/>
      <c r="G646" s="218"/>
      <c r="H646" s="218"/>
      <c r="I646" s="218"/>
      <c r="J646" s="218"/>
      <c r="K646" s="218"/>
      <c r="L646" s="218"/>
      <c r="M646" s="218"/>
      <c r="N646" s="218"/>
      <c r="O646" s="218"/>
      <c r="P646" s="218"/>
      <c r="Q646" s="218"/>
    </row>
    <row r="647">
      <c r="A647" s="218"/>
      <c r="B647" s="218"/>
      <c r="C647" s="218"/>
      <c r="D647" s="218"/>
      <c r="E647" s="218"/>
      <c r="F647" s="218"/>
      <c r="G647" s="218"/>
      <c r="H647" s="218"/>
      <c r="I647" s="218"/>
      <c r="J647" s="218"/>
      <c r="K647" s="218"/>
      <c r="L647" s="218"/>
      <c r="M647" s="218"/>
      <c r="N647" s="218"/>
      <c r="O647" s="218"/>
      <c r="P647" s="218"/>
      <c r="Q647" s="218"/>
    </row>
    <row r="648">
      <c r="A648" s="218"/>
      <c r="B648" s="218"/>
      <c r="C648" s="218"/>
      <c r="D648" s="218"/>
      <c r="E648" s="218"/>
      <c r="F648" s="218"/>
      <c r="G648" s="218"/>
      <c r="H648" s="218"/>
      <c r="I648" s="218"/>
      <c r="J648" s="218"/>
      <c r="K648" s="218"/>
      <c r="L648" s="218"/>
      <c r="M648" s="218"/>
      <c r="N648" s="218"/>
      <c r="O648" s="218"/>
      <c r="P648" s="218"/>
      <c r="Q648" s="218"/>
    </row>
    <row r="649">
      <c r="A649" s="218"/>
      <c r="B649" s="218"/>
      <c r="C649" s="218"/>
      <c r="D649" s="218"/>
      <c r="E649" s="218"/>
      <c r="F649" s="218"/>
      <c r="G649" s="218"/>
      <c r="H649" s="218"/>
      <c r="I649" s="218"/>
      <c r="J649" s="218"/>
      <c r="K649" s="218"/>
      <c r="L649" s="218"/>
      <c r="M649" s="218"/>
      <c r="N649" s="218"/>
      <c r="O649" s="218"/>
      <c r="P649" s="218"/>
      <c r="Q649" s="218"/>
    </row>
    <row r="650">
      <c r="A650" s="218"/>
      <c r="B650" s="218"/>
      <c r="C650" s="218"/>
      <c r="D650" s="218"/>
      <c r="E650" s="218"/>
      <c r="F650" s="218"/>
      <c r="G650" s="218"/>
      <c r="H650" s="218"/>
      <c r="I650" s="218"/>
      <c r="J650" s="218"/>
      <c r="K650" s="218"/>
      <c r="L650" s="218"/>
      <c r="M650" s="218"/>
      <c r="N650" s="218"/>
      <c r="O650" s="218"/>
      <c r="P650" s="218"/>
      <c r="Q650" s="218"/>
    </row>
    <row r="651">
      <c r="A651" s="218"/>
      <c r="B651" s="218"/>
      <c r="C651" s="218"/>
      <c r="D651" s="218"/>
      <c r="E651" s="218"/>
      <c r="F651" s="218"/>
      <c r="G651" s="218"/>
      <c r="H651" s="218"/>
      <c r="I651" s="218"/>
      <c r="J651" s="218"/>
      <c r="K651" s="218"/>
      <c r="L651" s="218"/>
      <c r="M651" s="218"/>
      <c r="N651" s="218"/>
      <c r="O651" s="218"/>
      <c r="P651" s="218"/>
      <c r="Q651" s="218"/>
    </row>
    <row r="652">
      <c r="A652" s="218"/>
      <c r="B652" s="218"/>
      <c r="C652" s="218"/>
      <c r="D652" s="218"/>
      <c r="E652" s="218"/>
      <c r="F652" s="218"/>
      <c r="G652" s="218"/>
      <c r="H652" s="218"/>
      <c r="I652" s="218"/>
      <c r="J652" s="218"/>
      <c r="K652" s="218"/>
      <c r="L652" s="218"/>
      <c r="M652" s="218"/>
      <c r="N652" s="218"/>
      <c r="O652" s="218"/>
      <c r="P652" s="218"/>
      <c r="Q652" s="218"/>
    </row>
    <row r="653">
      <c r="A653" s="218"/>
      <c r="B653" s="218"/>
      <c r="C653" s="218"/>
      <c r="D653" s="218"/>
      <c r="E653" s="218"/>
      <c r="F653" s="218"/>
      <c r="G653" s="218"/>
      <c r="H653" s="218"/>
      <c r="I653" s="218"/>
      <c r="J653" s="218"/>
      <c r="K653" s="218"/>
      <c r="L653" s="218"/>
      <c r="M653" s="218"/>
      <c r="N653" s="218"/>
      <c r="O653" s="218"/>
      <c r="P653" s="218"/>
      <c r="Q653" s="218"/>
    </row>
    <row r="654">
      <c r="A654" s="218"/>
      <c r="B654" s="218"/>
      <c r="C654" s="218"/>
      <c r="D654" s="218"/>
      <c r="E654" s="218"/>
      <c r="F654" s="218"/>
      <c r="G654" s="218"/>
      <c r="H654" s="218"/>
      <c r="I654" s="218"/>
      <c r="J654" s="218"/>
      <c r="K654" s="218"/>
      <c r="L654" s="218"/>
      <c r="M654" s="218"/>
      <c r="N654" s="218"/>
      <c r="O654" s="218"/>
      <c r="P654" s="218"/>
      <c r="Q654" s="218"/>
    </row>
    <row r="655">
      <c r="A655" s="218"/>
      <c r="B655" s="218"/>
      <c r="C655" s="218"/>
      <c r="D655" s="218"/>
      <c r="E655" s="218"/>
      <c r="F655" s="218"/>
      <c r="G655" s="218"/>
      <c r="H655" s="218"/>
      <c r="I655" s="218"/>
      <c r="J655" s="218"/>
      <c r="K655" s="218"/>
      <c r="L655" s="218"/>
      <c r="M655" s="218"/>
      <c r="N655" s="218"/>
      <c r="O655" s="218"/>
      <c r="P655" s="218"/>
      <c r="Q655" s="218"/>
    </row>
    <row r="656">
      <c r="A656" s="218"/>
      <c r="B656" s="218"/>
      <c r="C656" s="218"/>
      <c r="D656" s="218"/>
      <c r="E656" s="218"/>
      <c r="F656" s="218"/>
      <c r="G656" s="218"/>
      <c r="H656" s="218"/>
      <c r="I656" s="218"/>
      <c r="J656" s="218"/>
      <c r="K656" s="218"/>
      <c r="L656" s="218"/>
      <c r="M656" s="218"/>
      <c r="N656" s="218"/>
      <c r="O656" s="218"/>
      <c r="P656" s="218"/>
      <c r="Q656" s="218"/>
    </row>
    <row r="657">
      <c r="A657" s="218"/>
      <c r="B657" s="218"/>
      <c r="C657" s="218"/>
      <c r="D657" s="218"/>
      <c r="E657" s="218"/>
      <c r="F657" s="218"/>
      <c r="G657" s="218"/>
      <c r="H657" s="218"/>
      <c r="I657" s="218"/>
      <c r="J657" s="218"/>
      <c r="K657" s="218"/>
      <c r="L657" s="218"/>
      <c r="M657" s="218"/>
      <c r="N657" s="218"/>
      <c r="O657" s="218"/>
      <c r="P657" s="218"/>
      <c r="Q657" s="218"/>
    </row>
    <row r="658">
      <c r="A658" s="218"/>
      <c r="B658" s="218"/>
      <c r="C658" s="218"/>
      <c r="D658" s="218"/>
      <c r="E658" s="218"/>
      <c r="F658" s="218"/>
      <c r="G658" s="218"/>
      <c r="H658" s="218"/>
      <c r="I658" s="218"/>
      <c r="J658" s="218"/>
      <c r="K658" s="218"/>
      <c r="L658" s="218"/>
      <c r="M658" s="218"/>
      <c r="N658" s="218"/>
      <c r="O658" s="218"/>
      <c r="P658" s="218"/>
      <c r="Q658" s="218"/>
    </row>
    <row r="659">
      <c r="A659" s="218"/>
      <c r="B659" s="218"/>
      <c r="C659" s="218"/>
      <c r="D659" s="218"/>
      <c r="E659" s="218"/>
      <c r="F659" s="218"/>
      <c r="G659" s="218"/>
      <c r="H659" s="218"/>
      <c r="I659" s="218"/>
      <c r="J659" s="218"/>
      <c r="K659" s="218"/>
      <c r="L659" s="218"/>
      <c r="M659" s="218"/>
      <c r="N659" s="218"/>
      <c r="O659" s="218"/>
      <c r="P659" s="218"/>
      <c r="Q659" s="218"/>
    </row>
    <row r="660">
      <c r="A660" s="218"/>
      <c r="B660" s="218"/>
      <c r="C660" s="218"/>
      <c r="D660" s="218"/>
      <c r="E660" s="218"/>
      <c r="F660" s="218"/>
      <c r="G660" s="218"/>
      <c r="H660" s="218"/>
      <c r="I660" s="218"/>
      <c r="J660" s="218"/>
      <c r="K660" s="218"/>
      <c r="L660" s="218"/>
      <c r="M660" s="218"/>
      <c r="N660" s="218"/>
      <c r="O660" s="218"/>
      <c r="P660" s="218"/>
      <c r="Q660" s="218"/>
    </row>
    <row r="661">
      <c r="A661" s="218"/>
      <c r="B661" s="218"/>
      <c r="C661" s="218"/>
      <c r="D661" s="218"/>
      <c r="E661" s="218"/>
      <c r="F661" s="218"/>
      <c r="G661" s="218"/>
      <c r="H661" s="218"/>
      <c r="I661" s="218"/>
      <c r="J661" s="218"/>
      <c r="K661" s="218"/>
      <c r="L661" s="218"/>
      <c r="M661" s="218"/>
      <c r="N661" s="218"/>
      <c r="O661" s="218"/>
      <c r="P661" s="218"/>
      <c r="Q661" s="218"/>
    </row>
    <row r="662">
      <c r="A662" s="218"/>
      <c r="B662" s="218"/>
      <c r="C662" s="218"/>
      <c r="D662" s="218"/>
      <c r="E662" s="218"/>
      <c r="F662" s="218"/>
      <c r="G662" s="218"/>
      <c r="H662" s="218"/>
      <c r="I662" s="218"/>
      <c r="J662" s="218"/>
      <c r="K662" s="218"/>
      <c r="L662" s="218"/>
      <c r="M662" s="218"/>
      <c r="N662" s="218"/>
      <c r="O662" s="218"/>
      <c r="P662" s="218"/>
      <c r="Q662" s="218"/>
    </row>
    <row r="663">
      <c r="A663" s="218"/>
      <c r="B663" s="218"/>
      <c r="C663" s="218"/>
      <c r="D663" s="218"/>
      <c r="E663" s="218"/>
      <c r="F663" s="218"/>
      <c r="G663" s="218"/>
      <c r="H663" s="218"/>
      <c r="I663" s="218"/>
      <c r="J663" s="218"/>
      <c r="K663" s="218"/>
      <c r="L663" s="218"/>
      <c r="M663" s="218"/>
      <c r="N663" s="218"/>
      <c r="O663" s="218"/>
      <c r="P663" s="218"/>
      <c r="Q663" s="218"/>
    </row>
    <row r="664">
      <c r="A664" s="218"/>
      <c r="B664" s="218"/>
      <c r="C664" s="218"/>
      <c r="D664" s="218"/>
      <c r="E664" s="218"/>
      <c r="F664" s="218"/>
      <c r="G664" s="218"/>
      <c r="H664" s="218"/>
      <c r="I664" s="218"/>
      <c r="J664" s="218"/>
      <c r="K664" s="218"/>
      <c r="L664" s="218"/>
      <c r="M664" s="218"/>
      <c r="N664" s="218"/>
      <c r="O664" s="218"/>
      <c r="P664" s="218"/>
      <c r="Q664" s="218"/>
    </row>
    <row r="665">
      <c r="A665" s="218"/>
      <c r="B665" s="218"/>
      <c r="C665" s="218"/>
      <c r="D665" s="218"/>
      <c r="E665" s="218"/>
      <c r="F665" s="218"/>
      <c r="G665" s="218"/>
      <c r="H665" s="218"/>
      <c r="I665" s="218"/>
      <c r="J665" s="218"/>
      <c r="K665" s="218"/>
      <c r="L665" s="218"/>
      <c r="M665" s="218"/>
      <c r="N665" s="218"/>
      <c r="O665" s="218"/>
      <c r="P665" s="218"/>
      <c r="Q665" s="218"/>
    </row>
    <row r="666">
      <c r="A666" s="218"/>
      <c r="B666" s="218"/>
      <c r="C666" s="218"/>
      <c r="D666" s="218"/>
      <c r="E666" s="218"/>
      <c r="F666" s="218"/>
      <c r="G666" s="218"/>
      <c r="H666" s="218"/>
      <c r="I666" s="218"/>
      <c r="J666" s="218"/>
      <c r="K666" s="218"/>
      <c r="L666" s="218"/>
      <c r="M666" s="218"/>
      <c r="N666" s="218"/>
      <c r="O666" s="218"/>
      <c r="P666" s="218"/>
      <c r="Q666" s="218"/>
    </row>
    <row r="667">
      <c r="A667" s="218"/>
      <c r="B667" s="218"/>
      <c r="C667" s="218"/>
      <c r="D667" s="218"/>
      <c r="E667" s="218"/>
      <c r="F667" s="218"/>
      <c r="G667" s="218"/>
      <c r="H667" s="218"/>
      <c r="I667" s="218"/>
      <c r="J667" s="218"/>
      <c r="K667" s="218"/>
      <c r="L667" s="218"/>
      <c r="M667" s="218"/>
      <c r="N667" s="218"/>
      <c r="O667" s="218"/>
      <c r="P667" s="218"/>
      <c r="Q667" s="218"/>
    </row>
    <row r="668">
      <c r="A668" s="218"/>
      <c r="B668" s="218"/>
      <c r="C668" s="218"/>
      <c r="D668" s="218"/>
      <c r="E668" s="218"/>
      <c r="F668" s="218"/>
      <c r="G668" s="218"/>
      <c r="H668" s="218"/>
      <c r="I668" s="218"/>
      <c r="J668" s="218"/>
      <c r="K668" s="218"/>
      <c r="L668" s="218"/>
      <c r="M668" s="218"/>
      <c r="N668" s="218"/>
      <c r="O668" s="218"/>
      <c r="P668" s="218"/>
      <c r="Q668" s="218"/>
    </row>
    <row r="669">
      <c r="A669" s="218"/>
      <c r="B669" s="218"/>
      <c r="C669" s="218"/>
      <c r="D669" s="218"/>
      <c r="E669" s="218"/>
      <c r="F669" s="218"/>
      <c r="G669" s="218"/>
      <c r="H669" s="218"/>
      <c r="I669" s="218"/>
      <c r="J669" s="218"/>
      <c r="K669" s="218"/>
      <c r="L669" s="218"/>
      <c r="M669" s="218"/>
      <c r="N669" s="218"/>
      <c r="O669" s="218"/>
      <c r="P669" s="218"/>
      <c r="Q669" s="218"/>
    </row>
    <row r="670">
      <c r="A670" s="218"/>
      <c r="B670" s="218"/>
      <c r="C670" s="218"/>
      <c r="D670" s="218"/>
      <c r="E670" s="218"/>
      <c r="F670" s="218"/>
      <c r="G670" s="218"/>
      <c r="H670" s="218"/>
      <c r="I670" s="218"/>
      <c r="J670" s="218"/>
      <c r="K670" s="218"/>
      <c r="L670" s="218"/>
      <c r="M670" s="218"/>
      <c r="N670" s="218"/>
      <c r="O670" s="218"/>
      <c r="P670" s="218"/>
      <c r="Q670" s="218"/>
    </row>
    <row r="671">
      <c r="A671" s="218"/>
      <c r="B671" s="218"/>
      <c r="C671" s="218"/>
      <c r="D671" s="218"/>
      <c r="E671" s="218"/>
      <c r="F671" s="218"/>
      <c r="G671" s="218"/>
      <c r="H671" s="218"/>
      <c r="I671" s="218"/>
      <c r="J671" s="218"/>
      <c r="K671" s="218"/>
      <c r="L671" s="218"/>
      <c r="M671" s="218"/>
      <c r="N671" s="218"/>
      <c r="O671" s="218"/>
      <c r="P671" s="218"/>
      <c r="Q671" s="218"/>
    </row>
    <row r="672">
      <c r="A672" s="218"/>
      <c r="B672" s="218"/>
      <c r="C672" s="218"/>
      <c r="D672" s="218"/>
      <c r="E672" s="218"/>
      <c r="F672" s="218"/>
      <c r="G672" s="218"/>
      <c r="H672" s="218"/>
      <c r="I672" s="218"/>
      <c r="J672" s="218"/>
      <c r="K672" s="218"/>
      <c r="L672" s="218"/>
      <c r="M672" s="218"/>
      <c r="N672" s="218"/>
      <c r="O672" s="218"/>
      <c r="P672" s="218"/>
      <c r="Q672" s="218"/>
    </row>
    <row r="673">
      <c r="A673" s="218"/>
      <c r="B673" s="218"/>
      <c r="C673" s="218"/>
      <c r="D673" s="218"/>
      <c r="E673" s="218"/>
      <c r="F673" s="218"/>
      <c r="G673" s="218"/>
      <c r="H673" s="218"/>
      <c r="I673" s="218"/>
      <c r="J673" s="218"/>
      <c r="K673" s="218"/>
      <c r="L673" s="218"/>
      <c r="M673" s="218"/>
      <c r="N673" s="218"/>
      <c r="O673" s="218"/>
      <c r="P673" s="218"/>
      <c r="Q673" s="218"/>
    </row>
    <row r="674">
      <c r="A674" s="218"/>
      <c r="B674" s="218"/>
      <c r="C674" s="218"/>
      <c r="D674" s="218"/>
      <c r="E674" s="218"/>
      <c r="F674" s="218"/>
      <c r="G674" s="218"/>
      <c r="H674" s="218"/>
      <c r="I674" s="218"/>
      <c r="J674" s="218"/>
      <c r="K674" s="218"/>
      <c r="L674" s="218"/>
      <c r="M674" s="218"/>
      <c r="N674" s="218"/>
      <c r="O674" s="218"/>
      <c r="P674" s="218"/>
      <c r="Q674" s="218"/>
    </row>
    <row r="675">
      <c r="A675" s="218"/>
      <c r="B675" s="218"/>
      <c r="C675" s="218"/>
      <c r="D675" s="218"/>
      <c r="E675" s="218"/>
      <c r="F675" s="218"/>
      <c r="G675" s="218"/>
      <c r="H675" s="218"/>
      <c r="I675" s="218"/>
      <c r="J675" s="218"/>
      <c r="K675" s="218"/>
      <c r="L675" s="218"/>
      <c r="M675" s="218"/>
      <c r="N675" s="218"/>
      <c r="O675" s="218"/>
      <c r="P675" s="218"/>
      <c r="Q675" s="218"/>
    </row>
    <row r="676">
      <c r="A676" s="218"/>
      <c r="B676" s="218"/>
      <c r="C676" s="218"/>
      <c r="D676" s="218"/>
      <c r="E676" s="218"/>
      <c r="F676" s="218"/>
      <c r="G676" s="218"/>
      <c r="H676" s="218"/>
      <c r="I676" s="218"/>
      <c r="J676" s="218"/>
      <c r="K676" s="218"/>
      <c r="L676" s="218"/>
      <c r="M676" s="218"/>
      <c r="N676" s="218"/>
      <c r="O676" s="218"/>
      <c r="P676" s="218"/>
      <c r="Q676" s="218"/>
    </row>
    <row r="677">
      <c r="A677" s="218"/>
      <c r="B677" s="218"/>
      <c r="C677" s="218"/>
      <c r="D677" s="218"/>
      <c r="E677" s="218"/>
      <c r="F677" s="218"/>
      <c r="G677" s="218"/>
      <c r="H677" s="218"/>
      <c r="I677" s="218"/>
      <c r="J677" s="218"/>
      <c r="K677" s="218"/>
      <c r="L677" s="218"/>
      <c r="M677" s="218"/>
      <c r="N677" s="218"/>
      <c r="O677" s="218"/>
      <c r="P677" s="218"/>
      <c r="Q677" s="218"/>
    </row>
    <row r="678">
      <c r="A678" s="218"/>
      <c r="B678" s="218"/>
      <c r="C678" s="218"/>
      <c r="D678" s="218"/>
      <c r="E678" s="218"/>
      <c r="F678" s="218"/>
      <c r="G678" s="218"/>
      <c r="H678" s="218"/>
      <c r="I678" s="218"/>
      <c r="J678" s="218"/>
      <c r="K678" s="218"/>
      <c r="L678" s="218"/>
      <c r="M678" s="218"/>
      <c r="N678" s="218"/>
      <c r="O678" s="218"/>
      <c r="P678" s="218"/>
      <c r="Q678" s="218"/>
    </row>
    <row r="679">
      <c r="A679" s="218"/>
      <c r="B679" s="218"/>
      <c r="C679" s="218"/>
      <c r="D679" s="218"/>
      <c r="E679" s="218"/>
      <c r="F679" s="218"/>
      <c r="G679" s="218"/>
      <c r="H679" s="218"/>
      <c r="I679" s="218"/>
      <c r="J679" s="218"/>
      <c r="K679" s="218"/>
      <c r="L679" s="218"/>
      <c r="M679" s="218"/>
      <c r="N679" s="218"/>
      <c r="O679" s="218"/>
      <c r="P679" s="218"/>
      <c r="Q679" s="218"/>
    </row>
    <row r="680">
      <c r="A680" s="218"/>
      <c r="B680" s="218"/>
      <c r="C680" s="218"/>
      <c r="D680" s="218"/>
      <c r="E680" s="218"/>
      <c r="F680" s="218"/>
      <c r="G680" s="218"/>
      <c r="H680" s="218"/>
      <c r="I680" s="218"/>
      <c r="J680" s="218"/>
      <c r="K680" s="218"/>
      <c r="L680" s="218"/>
      <c r="M680" s="218"/>
      <c r="N680" s="218"/>
      <c r="O680" s="218"/>
      <c r="P680" s="218"/>
      <c r="Q680" s="218"/>
    </row>
    <row r="681">
      <c r="A681" s="218"/>
      <c r="B681" s="218"/>
      <c r="C681" s="218"/>
      <c r="D681" s="218"/>
      <c r="E681" s="218"/>
      <c r="F681" s="218"/>
      <c r="G681" s="218"/>
      <c r="H681" s="218"/>
      <c r="I681" s="218"/>
      <c r="J681" s="218"/>
      <c r="K681" s="218"/>
      <c r="L681" s="218"/>
      <c r="M681" s="218"/>
      <c r="N681" s="218"/>
      <c r="O681" s="218"/>
      <c r="P681" s="218"/>
      <c r="Q681" s="218"/>
    </row>
    <row r="682">
      <c r="A682" s="218"/>
      <c r="B682" s="218"/>
      <c r="C682" s="218"/>
      <c r="D682" s="218"/>
      <c r="E682" s="218"/>
      <c r="F682" s="218"/>
      <c r="G682" s="218"/>
      <c r="H682" s="218"/>
      <c r="I682" s="218"/>
      <c r="J682" s="218"/>
      <c r="K682" s="218"/>
      <c r="L682" s="218"/>
      <c r="M682" s="218"/>
      <c r="N682" s="218"/>
      <c r="O682" s="218"/>
      <c r="P682" s="218"/>
      <c r="Q682" s="218"/>
    </row>
    <row r="683">
      <c r="A683" s="218"/>
      <c r="B683" s="218"/>
      <c r="C683" s="218"/>
      <c r="D683" s="218"/>
      <c r="E683" s="218"/>
      <c r="F683" s="218"/>
      <c r="G683" s="218"/>
      <c r="H683" s="218"/>
      <c r="I683" s="218"/>
      <c r="J683" s="218"/>
      <c r="K683" s="218"/>
      <c r="L683" s="218"/>
      <c r="M683" s="218"/>
      <c r="N683" s="218"/>
      <c r="O683" s="218"/>
      <c r="P683" s="218"/>
      <c r="Q683" s="218"/>
    </row>
    <row r="684">
      <c r="A684" s="218"/>
      <c r="B684" s="218"/>
      <c r="C684" s="218"/>
      <c r="D684" s="218"/>
      <c r="E684" s="218"/>
      <c r="F684" s="218"/>
      <c r="G684" s="218"/>
      <c r="H684" s="218"/>
      <c r="I684" s="218"/>
      <c r="J684" s="218"/>
      <c r="K684" s="218"/>
      <c r="L684" s="218"/>
      <c r="M684" s="218"/>
      <c r="N684" s="218"/>
      <c r="O684" s="218"/>
      <c r="P684" s="218"/>
      <c r="Q684" s="218"/>
    </row>
    <row r="685">
      <c r="A685" s="218"/>
      <c r="B685" s="218"/>
      <c r="C685" s="218"/>
      <c r="D685" s="218"/>
      <c r="E685" s="218"/>
      <c r="F685" s="218"/>
      <c r="G685" s="218"/>
      <c r="H685" s="218"/>
      <c r="I685" s="218"/>
      <c r="J685" s="218"/>
      <c r="K685" s="218"/>
      <c r="L685" s="218"/>
      <c r="M685" s="218"/>
      <c r="N685" s="218"/>
      <c r="O685" s="218"/>
      <c r="P685" s="218"/>
      <c r="Q685" s="218"/>
    </row>
    <row r="686">
      <c r="A686" s="218"/>
      <c r="B686" s="218"/>
      <c r="C686" s="218"/>
      <c r="D686" s="218"/>
      <c r="E686" s="218"/>
      <c r="F686" s="218"/>
      <c r="G686" s="218"/>
      <c r="H686" s="218"/>
      <c r="I686" s="218"/>
      <c r="J686" s="218"/>
      <c r="K686" s="218"/>
      <c r="L686" s="218"/>
      <c r="M686" s="218"/>
      <c r="N686" s="218"/>
      <c r="O686" s="218"/>
      <c r="P686" s="218"/>
      <c r="Q686" s="218"/>
    </row>
    <row r="687">
      <c r="A687" s="218"/>
      <c r="B687" s="218"/>
      <c r="C687" s="218"/>
      <c r="D687" s="218"/>
      <c r="E687" s="218"/>
      <c r="F687" s="218"/>
      <c r="G687" s="218"/>
      <c r="H687" s="218"/>
      <c r="I687" s="218"/>
      <c r="J687" s="218"/>
      <c r="K687" s="218"/>
      <c r="L687" s="218"/>
      <c r="M687" s="218"/>
      <c r="N687" s="218"/>
      <c r="O687" s="218"/>
      <c r="P687" s="218"/>
      <c r="Q687" s="218"/>
    </row>
    <row r="688">
      <c r="A688" s="218"/>
      <c r="B688" s="218"/>
      <c r="C688" s="218"/>
      <c r="D688" s="218"/>
      <c r="E688" s="218"/>
      <c r="F688" s="218"/>
      <c r="G688" s="218"/>
      <c r="H688" s="218"/>
      <c r="I688" s="218"/>
      <c r="J688" s="218"/>
      <c r="K688" s="218"/>
      <c r="L688" s="218"/>
      <c r="M688" s="218"/>
      <c r="N688" s="218"/>
      <c r="O688" s="218"/>
      <c r="P688" s="218"/>
      <c r="Q688" s="218"/>
    </row>
    <row r="689">
      <c r="A689" s="218"/>
      <c r="B689" s="218"/>
      <c r="C689" s="218"/>
      <c r="D689" s="218"/>
      <c r="E689" s="218"/>
      <c r="F689" s="218"/>
      <c r="G689" s="218"/>
      <c r="H689" s="218"/>
      <c r="I689" s="218"/>
      <c r="J689" s="218"/>
      <c r="K689" s="218"/>
      <c r="L689" s="218"/>
      <c r="M689" s="218"/>
      <c r="N689" s="218"/>
      <c r="O689" s="218"/>
      <c r="P689" s="218"/>
      <c r="Q689" s="218"/>
    </row>
    <row r="690">
      <c r="A690" s="218"/>
      <c r="B690" s="218"/>
      <c r="C690" s="218"/>
      <c r="D690" s="218"/>
      <c r="E690" s="218"/>
      <c r="F690" s="218"/>
      <c r="G690" s="218"/>
      <c r="H690" s="218"/>
      <c r="I690" s="218"/>
      <c r="J690" s="218"/>
      <c r="K690" s="218"/>
      <c r="L690" s="218"/>
      <c r="M690" s="218"/>
      <c r="N690" s="218"/>
      <c r="O690" s="218"/>
      <c r="P690" s="218"/>
      <c r="Q690" s="218"/>
    </row>
    <row r="691">
      <c r="A691" s="218"/>
      <c r="B691" s="218"/>
      <c r="C691" s="218"/>
      <c r="D691" s="218"/>
      <c r="E691" s="218"/>
      <c r="F691" s="218"/>
      <c r="G691" s="218"/>
      <c r="H691" s="218"/>
      <c r="I691" s="218"/>
      <c r="J691" s="218"/>
      <c r="K691" s="218"/>
      <c r="L691" s="218"/>
      <c r="M691" s="218"/>
      <c r="N691" s="218"/>
      <c r="O691" s="218"/>
      <c r="P691" s="218"/>
      <c r="Q691" s="218"/>
    </row>
    <row r="692">
      <c r="A692" s="218"/>
      <c r="B692" s="218"/>
      <c r="C692" s="218"/>
      <c r="D692" s="218"/>
      <c r="E692" s="218"/>
      <c r="F692" s="218"/>
      <c r="G692" s="218"/>
      <c r="H692" s="218"/>
      <c r="I692" s="218"/>
      <c r="J692" s="218"/>
      <c r="K692" s="218"/>
      <c r="L692" s="218"/>
      <c r="M692" s="218"/>
      <c r="N692" s="218"/>
      <c r="O692" s="218"/>
      <c r="P692" s="218"/>
      <c r="Q692" s="218"/>
    </row>
    <row r="693">
      <c r="A693" s="218"/>
      <c r="B693" s="218"/>
      <c r="C693" s="218"/>
      <c r="D693" s="218"/>
      <c r="E693" s="218"/>
      <c r="F693" s="218"/>
      <c r="G693" s="218"/>
      <c r="H693" s="218"/>
      <c r="I693" s="218"/>
      <c r="J693" s="218"/>
      <c r="K693" s="218"/>
      <c r="L693" s="218"/>
      <c r="M693" s="218"/>
      <c r="N693" s="218"/>
      <c r="O693" s="218"/>
      <c r="P693" s="218"/>
      <c r="Q693" s="218"/>
    </row>
    <row r="694">
      <c r="A694" s="218"/>
      <c r="B694" s="218"/>
      <c r="C694" s="218"/>
      <c r="D694" s="218"/>
      <c r="E694" s="218"/>
      <c r="F694" s="218"/>
      <c r="G694" s="218"/>
      <c r="H694" s="218"/>
      <c r="I694" s="218"/>
      <c r="J694" s="218"/>
      <c r="K694" s="218"/>
      <c r="L694" s="218"/>
      <c r="M694" s="218"/>
      <c r="N694" s="218"/>
      <c r="O694" s="218"/>
      <c r="P694" s="218"/>
      <c r="Q694" s="218"/>
    </row>
    <row r="695">
      <c r="A695" s="218"/>
      <c r="B695" s="218"/>
      <c r="C695" s="218"/>
      <c r="D695" s="218"/>
      <c r="E695" s="218"/>
      <c r="F695" s="218"/>
      <c r="G695" s="218"/>
      <c r="H695" s="218"/>
      <c r="I695" s="218"/>
      <c r="J695" s="218"/>
      <c r="K695" s="218"/>
      <c r="L695" s="218"/>
      <c r="M695" s="218"/>
      <c r="N695" s="218"/>
      <c r="O695" s="218"/>
      <c r="P695" s="218"/>
      <c r="Q695" s="218"/>
    </row>
    <row r="696">
      <c r="A696" s="218"/>
      <c r="B696" s="218"/>
      <c r="C696" s="218"/>
      <c r="D696" s="218"/>
      <c r="E696" s="218"/>
      <c r="F696" s="218"/>
      <c r="G696" s="218"/>
      <c r="H696" s="218"/>
      <c r="I696" s="218"/>
      <c r="J696" s="218"/>
      <c r="K696" s="218"/>
      <c r="L696" s="218"/>
      <c r="M696" s="218"/>
      <c r="N696" s="218"/>
      <c r="O696" s="218"/>
      <c r="P696" s="218"/>
      <c r="Q696" s="218"/>
    </row>
    <row r="697">
      <c r="A697" s="218"/>
      <c r="B697" s="218"/>
      <c r="C697" s="218"/>
      <c r="D697" s="218"/>
      <c r="E697" s="218"/>
      <c r="F697" s="218"/>
      <c r="G697" s="218"/>
      <c r="H697" s="218"/>
      <c r="I697" s="218"/>
      <c r="J697" s="218"/>
      <c r="K697" s="218"/>
      <c r="L697" s="218"/>
      <c r="M697" s="218"/>
      <c r="N697" s="218"/>
      <c r="O697" s="218"/>
      <c r="P697" s="218"/>
      <c r="Q697" s="218"/>
    </row>
    <row r="698">
      <c r="A698" s="218"/>
      <c r="B698" s="218"/>
      <c r="C698" s="218"/>
      <c r="D698" s="218"/>
      <c r="E698" s="218"/>
      <c r="F698" s="218"/>
      <c r="G698" s="218"/>
      <c r="H698" s="218"/>
      <c r="I698" s="218"/>
      <c r="J698" s="218"/>
      <c r="K698" s="218"/>
      <c r="L698" s="218"/>
      <c r="M698" s="218"/>
      <c r="N698" s="218"/>
      <c r="O698" s="218"/>
      <c r="P698" s="218"/>
      <c r="Q698" s="218"/>
    </row>
    <row r="699">
      <c r="A699" s="218"/>
      <c r="B699" s="218"/>
      <c r="C699" s="218"/>
      <c r="D699" s="218"/>
      <c r="E699" s="218"/>
      <c r="F699" s="218"/>
      <c r="G699" s="218"/>
      <c r="H699" s="218"/>
      <c r="I699" s="218"/>
      <c r="J699" s="218"/>
      <c r="K699" s="218"/>
      <c r="L699" s="218"/>
      <c r="M699" s="218"/>
      <c r="N699" s="218"/>
      <c r="O699" s="218"/>
      <c r="P699" s="218"/>
      <c r="Q699" s="218"/>
    </row>
    <row r="700">
      <c r="A700" s="218"/>
      <c r="B700" s="218"/>
      <c r="C700" s="218"/>
      <c r="D700" s="218"/>
      <c r="E700" s="218"/>
      <c r="F700" s="218"/>
      <c r="G700" s="218"/>
      <c r="H700" s="218"/>
      <c r="I700" s="218"/>
      <c r="J700" s="218"/>
      <c r="K700" s="218"/>
      <c r="L700" s="218"/>
      <c r="M700" s="218"/>
      <c r="N700" s="218"/>
      <c r="O700" s="218"/>
      <c r="P700" s="218"/>
      <c r="Q700" s="218"/>
    </row>
    <row r="701">
      <c r="A701" s="218"/>
      <c r="B701" s="218"/>
      <c r="C701" s="218"/>
      <c r="D701" s="218"/>
      <c r="E701" s="218"/>
      <c r="F701" s="218"/>
      <c r="G701" s="218"/>
      <c r="H701" s="218"/>
      <c r="I701" s="218"/>
      <c r="J701" s="218"/>
      <c r="K701" s="218"/>
      <c r="L701" s="218"/>
      <c r="M701" s="218"/>
      <c r="N701" s="218"/>
      <c r="O701" s="218"/>
      <c r="P701" s="218"/>
      <c r="Q701" s="218"/>
    </row>
    <row r="702">
      <c r="A702" s="218"/>
      <c r="B702" s="218"/>
      <c r="C702" s="218"/>
      <c r="D702" s="218"/>
      <c r="E702" s="218"/>
      <c r="F702" s="218"/>
      <c r="G702" s="218"/>
      <c r="H702" s="218"/>
      <c r="I702" s="218"/>
      <c r="J702" s="218"/>
      <c r="K702" s="218"/>
      <c r="L702" s="218"/>
      <c r="M702" s="218"/>
      <c r="N702" s="218"/>
      <c r="O702" s="218"/>
      <c r="P702" s="218"/>
      <c r="Q702" s="218"/>
    </row>
    <row r="703">
      <c r="A703" s="218"/>
      <c r="B703" s="218"/>
      <c r="C703" s="218"/>
      <c r="D703" s="218"/>
      <c r="E703" s="218"/>
      <c r="F703" s="218"/>
      <c r="G703" s="218"/>
      <c r="H703" s="218"/>
      <c r="I703" s="218"/>
      <c r="J703" s="218"/>
      <c r="K703" s="218"/>
      <c r="L703" s="218"/>
      <c r="M703" s="218"/>
      <c r="N703" s="218"/>
      <c r="O703" s="218"/>
      <c r="P703" s="218"/>
      <c r="Q703" s="218"/>
    </row>
    <row r="704">
      <c r="A704" s="218"/>
      <c r="B704" s="218"/>
      <c r="C704" s="218"/>
      <c r="D704" s="218"/>
      <c r="E704" s="218"/>
      <c r="F704" s="218"/>
      <c r="G704" s="218"/>
      <c r="H704" s="218"/>
      <c r="I704" s="218"/>
      <c r="J704" s="218"/>
      <c r="K704" s="218"/>
      <c r="L704" s="218"/>
      <c r="M704" s="218"/>
      <c r="N704" s="218"/>
      <c r="O704" s="218"/>
      <c r="P704" s="218"/>
      <c r="Q704" s="218"/>
    </row>
    <row r="705">
      <c r="A705" s="218"/>
      <c r="B705" s="218"/>
      <c r="C705" s="218"/>
      <c r="D705" s="218"/>
      <c r="E705" s="218"/>
      <c r="F705" s="218"/>
      <c r="G705" s="218"/>
      <c r="H705" s="218"/>
      <c r="I705" s="218"/>
      <c r="J705" s="218"/>
      <c r="K705" s="218"/>
      <c r="L705" s="218"/>
      <c r="M705" s="218"/>
      <c r="N705" s="218"/>
      <c r="O705" s="218"/>
      <c r="P705" s="218"/>
      <c r="Q705" s="218"/>
    </row>
    <row r="706">
      <c r="A706" s="218"/>
      <c r="B706" s="218"/>
      <c r="C706" s="218"/>
      <c r="D706" s="218"/>
      <c r="E706" s="218"/>
      <c r="F706" s="218"/>
      <c r="G706" s="218"/>
      <c r="H706" s="218"/>
      <c r="I706" s="218"/>
      <c r="J706" s="218"/>
      <c r="K706" s="218"/>
      <c r="L706" s="218"/>
      <c r="M706" s="218"/>
      <c r="N706" s="218"/>
      <c r="O706" s="218"/>
      <c r="P706" s="218"/>
      <c r="Q706" s="218"/>
    </row>
    <row r="707">
      <c r="A707" s="218"/>
      <c r="B707" s="218"/>
      <c r="C707" s="218"/>
      <c r="D707" s="218"/>
      <c r="E707" s="218"/>
      <c r="F707" s="218"/>
      <c r="G707" s="218"/>
      <c r="H707" s="218"/>
      <c r="I707" s="218"/>
      <c r="J707" s="218"/>
      <c r="K707" s="218"/>
      <c r="L707" s="218"/>
      <c r="M707" s="218"/>
      <c r="N707" s="218"/>
      <c r="O707" s="218"/>
      <c r="P707" s="218"/>
      <c r="Q707" s="218"/>
    </row>
    <row r="708">
      <c r="A708" s="218"/>
      <c r="B708" s="218"/>
      <c r="C708" s="218"/>
      <c r="D708" s="218"/>
      <c r="E708" s="218"/>
      <c r="F708" s="218"/>
      <c r="G708" s="218"/>
      <c r="H708" s="218"/>
      <c r="I708" s="218"/>
      <c r="J708" s="218"/>
      <c r="K708" s="218"/>
      <c r="L708" s="218"/>
      <c r="M708" s="218"/>
      <c r="N708" s="218"/>
      <c r="O708" s="218"/>
      <c r="P708" s="218"/>
      <c r="Q708" s="218"/>
    </row>
    <row r="709">
      <c r="A709" s="218"/>
      <c r="B709" s="218"/>
      <c r="C709" s="218"/>
      <c r="D709" s="218"/>
      <c r="E709" s="218"/>
      <c r="F709" s="218"/>
      <c r="G709" s="218"/>
      <c r="H709" s="218"/>
      <c r="I709" s="218"/>
      <c r="J709" s="218"/>
      <c r="K709" s="218"/>
      <c r="L709" s="218"/>
      <c r="M709" s="218"/>
      <c r="N709" s="218"/>
      <c r="O709" s="218"/>
      <c r="P709" s="218"/>
      <c r="Q709" s="218"/>
    </row>
    <row r="710">
      <c r="A710" s="218"/>
      <c r="B710" s="218"/>
      <c r="C710" s="218"/>
      <c r="D710" s="218"/>
      <c r="E710" s="218"/>
      <c r="F710" s="218"/>
      <c r="G710" s="218"/>
      <c r="H710" s="218"/>
      <c r="I710" s="218"/>
      <c r="J710" s="218"/>
      <c r="K710" s="218"/>
      <c r="L710" s="218"/>
      <c r="M710" s="218"/>
      <c r="N710" s="218"/>
      <c r="O710" s="218"/>
      <c r="P710" s="218"/>
      <c r="Q710" s="218"/>
    </row>
    <row r="711">
      <c r="A711" s="218"/>
      <c r="B711" s="218"/>
      <c r="C711" s="218"/>
      <c r="D711" s="218"/>
      <c r="E711" s="218"/>
      <c r="F711" s="218"/>
      <c r="G711" s="218"/>
      <c r="H711" s="218"/>
      <c r="I711" s="218"/>
      <c r="J711" s="218"/>
      <c r="K711" s="218"/>
      <c r="L711" s="218"/>
      <c r="M711" s="218"/>
      <c r="N711" s="218"/>
      <c r="O711" s="218"/>
      <c r="P711" s="218"/>
      <c r="Q711" s="218"/>
    </row>
    <row r="712">
      <c r="A712" s="218"/>
      <c r="B712" s="218"/>
      <c r="C712" s="218"/>
      <c r="D712" s="218"/>
      <c r="E712" s="218"/>
      <c r="F712" s="218"/>
      <c r="G712" s="218"/>
      <c r="H712" s="218"/>
      <c r="I712" s="218"/>
      <c r="J712" s="218"/>
      <c r="K712" s="218"/>
      <c r="L712" s="218"/>
      <c r="M712" s="218"/>
      <c r="N712" s="218"/>
      <c r="O712" s="218"/>
      <c r="P712" s="218"/>
      <c r="Q712" s="218"/>
    </row>
    <row r="713">
      <c r="A713" s="218"/>
      <c r="B713" s="218"/>
      <c r="C713" s="218"/>
      <c r="D713" s="218"/>
      <c r="E713" s="218"/>
      <c r="F713" s="218"/>
      <c r="G713" s="218"/>
      <c r="H713" s="218"/>
      <c r="I713" s="218"/>
      <c r="J713" s="218"/>
      <c r="K713" s="218"/>
      <c r="L713" s="218"/>
      <c r="M713" s="218"/>
      <c r="N713" s="218"/>
      <c r="O713" s="218"/>
      <c r="P713" s="218"/>
      <c r="Q713" s="218"/>
    </row>
    <row r="714">
      <c r="A714" s="218"/>
      <c r="B714" s="218"/>
      <c r="C714" s="218"/>
      <c r="D714" s="218"/>
      <c r="E714" s="218"/>
      <c r="F714" s="218"/>
      <c r="G714" s="218"/>
      <c r="H714" s="218"/>
      <c r="I714" s="218"/>
      <c r="J714" s="218"/>
      <c r="K714" s="218"/>
      <c r="L714" s="218"/>
      <c r="M714" s="218"/>
      <c r="N714" s="218"/>
      <c r="O714" s="218"/>
      <c r="P714" s="218"/>
      <c r="Q714" s="218"/>
    </row>
    <row r="715">
      <c r="A715" s="218"/>
      <c r="B715" s="218"/>
      <c r="C715" s="218"/>
      <c r="D715" s="218"/>
      <c r="E715" s="218"/>
      <c r="F715" s="218"/>
      <c r="G715" s="218"/>
      <c r="H715" s="218"/>
      <c r="I715" s="218"/>
      <c r="J715" s="218"/>
      <c r="K715" s="218"/>
      <c r="L715" s="218"/>
      <c r="M715" s="218"/>
      <c r="N715" s="218"/>
      <c r="O715" s="218"/>
      <c r="P715" s="218"/>
      <c r="Q715" s="218"/>
    </row>
    <row r="716">
      <c r="A716" s="218"/>
      <c r="B716" s="218"/>
      <c r="C716" s="218"/>
      <c r="D716" s="218"/>
      <c r="E716" s="218"/>
      <c r="F716" s="218"/>
      <c r="G716" s="218"/>
      <c r="H716" s="218"/>
      <c r="I716" s="218"/>
      <c r="J716" s="218"/>
      <c r="K716" s="218"/>
      <c r="L716" s="218"/>
      <c r="M716" s="218"/>
      <c r="N716" s="218"/>
      <c r="O716" s="218"/>
      <c r="P716" s="218"/>
      <c r="Q716" s="218"/>
    </row>
    <row r="717">
      <c r="A717" s="218"/>
      <c r="B717" s="218"/>
      <c r="C717" s="218"/>
      <c r="D717" s="218"/>
      <c r="E717" s="218"/>
      <c r="F717" s="218"/>
      <c r="G717" s="218"/>
      <c r="H717" s="218"/>
      <c r="I717" s="218"/>
      <c r="J717" s="218"/>
      <c r="K717" s="218"/>
      <c r="L717" s="218"/>
      <c r="M717" s="218"/>
      <c r="N717" s="218"/>
      <c r="O717" s="218"/>
      <c r="P717" s="218"/>
      <c r="Q717" s="218"/>
    </row>
    <row r="718">
      <c r="A718" s="218"/>
      <c r="B718" s="218"/>
      <c r="C718" s="218"/>
      <c r="D718" s="218"/>
      <c r="E718" s="218"/>
      <c r="F718" s="218"/>
      <c r="G718" s="218"/>
      <c r="H718" s="218"/>
      <c r="I718" s="218"/>
      <c r="J718" s="218"/>
      <c r="K718" s="218"/>
      <c r="L718" s="218"/>
      <c r="M718" s="218"/>
      <c r="N718" s="218"/>
      <c r="O718" s="218"/>
      <c r="P718" s="218"/>
      <c r="Q718" s="218"/>
    </row>
    <row r="719">
      <c r="A719" s="218"/>
      <c r="B719" s="218"/>
      <c r="C719" s="218"/>
      <c r="D719" s="218"/>
      <c r="E719" s="218"/>
      <c r="F719" s="218"/>
      <c r="G719" s="218"/>
      <c r="H719" s="218"/>
      <c r="I719" s="218"/>
      <c r="J719" s="218"/>
      <c r="K719" s="218"/>
      <c r="L719" s="218"/>
      <c r="M719" s="218"/>
      <c r="N719" s="218"/>
      <c r="O719" s="218"/>
      <c r="P719" s="218"/>
      <c r="Q719" s="218"/>
    </row>
    <row r="720">
      <c r="A720" s="218"/>
      <c r="B720" s="218"/>
      <c r="C720" s="218"/>
      <c r="D720" s="218"/>
      <c r="E720" s="218"/>
      <c r="F720" s="218"/>
      <c r="G720" s="218"/>
      <c r="H720" s="218"/>
      <c r="I720" s="218"/>
      <c r="J720" s="218"/>
      <c r="K720" s="218"/>
      <c r="L720" s="218"/>
      <c r="M720" s="218"/>
      <c r="N720" s="218"/>
      <c r="O720" s="218"/>
      <c r="P720" s="218"/>
      <c r="Q720" s="218"/>
    </row>
    <row r="721">
      <c r="A721" s="218"/>
      <c r="B721" s="218"/>
      <c r="C721" s="218"/>
      <c r="D721" s="218"/>
      <c r="E721" s="218"/>
      <c r="F721" s="218"/>
      <c r="G721" s="218"/>
      <c r="H721" s="218"/>
      <c r="I721" s="218"/>
      <c r="J721" s="218"/>
      <c r="K721" s="218"/>
      <c r="L721" s="218"/>
      <c r="M721" s="218"/>
      <c r="N721" s="218"/>
      <c r="O721" s="218"/>
      <c r="P721" s="218"/>
      <c r="Q721" s="218"/>
    </row>
    <row r="722">
      <c r="A722" s="218"/>
      <c r="B722" s="218"/>
      <c r="C722" s="218"/>
      <c r="D722" s="218"/>
      <c r="E722" s="218"/>
      <c r="F722" s="218"/>
      <c r="G722" s="218"/>
      <c r="H722" s="218"/>
      <c r="I722" s="218"/>
      <c r="J722" s="218"/>
      <c r="K722" s="218"/>
      <c r="L722" s="218"/>
      <c r="M722" s="218"/>
      <c r="N722" s="218"/>
      <c r="O722" s="218"/>
      <c r="P722" s="218"/>
      <c r="Q722" s="218"/>
    </row>
    <row r="723">
      <c r="A723" s="218"/>
      <c r="B723" s="218"/>
      <c r="C723" s="218"/>
      <c r="D723" s="218"/>
      <c r="E723" s="218"/>
      <c r="F723" s="218"/>
      <c r="G723" s="218"/>
      <c r="H723" s="218"/>
      <c r="I723" s="218"/>
      <c r="J723" s="218"/>
      <c r="K723" s="218"/>
      <c r="L723" s="218"/>
      <c r="M723" s="218"/>
      <c r="N723" s="218"/>
      <c r="O723" s="218"/>
      <c r="P723" s="218"/>
      <c r="Q723" s="218"/>
    </row>
    <row r="724">
      <c r="A724" s="218"/>
      <c r="B724" s="218"/>
      <c r="C724" s="218"/>
      <c r="D724" s="218"/>
      <c r="E724" s="218"/>
      <c r="F724" s="218"/>
      <c r="G724" s="218"/>
      <c r="H724" s="218"/>
      <c r="I724" s="218"/>
      <c r="J724" s="218"/>
      <c r="K724" s="218"/>
      <c r="L724" s="218"/>
      <c r="M724" s="218"/>
      <c r="N724" s="218"/>
      <c r="O724" s="218"/>
      <c r="P724" s="218"/>
      <c r="Q724" s="218"/>
    </row>
    <row r="725">
      <c r="A725" s="218"/>
      <c r="B725" s="218"/>
      <c r="C725" s="218"/>
      <c r="D725" s="218"/>
      <c r="E725" s="218"/>
      <c r="F725" s="218"/>
      <c r="G725" s="218"/>
      <c r="H725" s="218"/>
      <c r="I725" s="218"/>
      <c r="J725" s="218"/>
      <c r="K725" s="218"/>
      <c r="L725" s="218"/>
      <c r="M725" s="218"/>
      <c r="N725" s="218"/>
      <c r="O725" s="218"/>
      <c r="P725" s="218"/>
      <c r="Q725" s="218"/>
    </row>
    <row r="726">
      <c r="A726" s="218"/>
      <c r="B726" s="218"/>
      <c r="C726" s="218"/>
      <c r="D726" s="218"/>
      <c r="E726" s="218"/>
      <c r="F726" s="218"/>
      <c r="G726" s="218"/>
      <c r="H726" s="218"/>
      <c r="I726" s="218"/>
      <c r="J726" s="218"/>
      <c r="K726" s="218"/>
      <c r="L726" s="218"/>
      <c r="M726" s="218"/>
      <c r="N726" s="218"/>
      <c r="O726" s="218"/>
      <c r="P726" s="218"/>
      <c r="Q726" s="218"/>
    </row>
    <row r="727">
      <c r="A727" s="218"/>
      <c r="B727" s="218"/>
      <c r="C727" s="218"/>
      <c r="D727" s="218"/>
      <c r="E727" s="218"/>
      <c r="F727" s="218"/>
      <c r="G727" s="218"/>
      <c r="H727" s="218"/>
      <c r="I727" s="218"/>
      <c r="J727" s="218"/>
      <c r="K727" s="218"/>
      <c r="L727" s="218"/>
      <c r="M727" s="218"/>
      <c r="N727" s="218"/>
      <c r="O727" s="218"/>
      <c r="P727" s="218"/>
      <c r="Q727" s="218"/>
    </row>
    <row r="728">
      <c r="A728" s="218"/>
      <c r="B728" s="218"/>
      <c r="C728" s="218"/>
      <c r="D728" s="218"/>
      <c r="E728" s="218"/>
      <c r="F728" s="218"/>
      <c r="G728" s="218"/>
      <c r="H728" s="218"/>
      <c r="I728" s="218"/>
      <c r="J728" s="218"/>
      <c r="K728" s="218"/>
      <c r="L728" s="218"/>
      <c r="M728" s="218"/>
      <c r="N728" s="218"/>
      <c r="O728" s="218"/>
      <c r="P728" s="218"/>
      <c r="Q728" s="218"/>
    </row>
    <row r="729">
      <c r="A729" s="218"/>
      <c r="B729" s="218"/>
      <c r="C729" s="218"/>
      <c r="D729" s="218"/>
      <c r="E729" s="218"/>
      <c r="F729" s="218"/>
      <c r="G729" s="218"/>
      <c r="H729" s="218"/>
      <c r="I729" s="218"/>
      <c r="J729" s="218"/>
      <c r="K729" s="218"/>
      <c r="L729" s="218"/>
      <c r="M729" s="218"/>
      <c r="N729" s="218"/>
      <c r="O729" s="218"/>
      <c r="P729" s="218"/>
      <c r="Q729" s="218"/>
    </row>
    <row r="730">
      <c r="A730" s="218"/>
      <c r="B730" s="218"/>
      <c r="C730" s="218"/>
      <c r="D730" s="218"/>
      <c r="E730" s="218"/>
      <c r="F730" s="218"/>
      <c r="G730" s="218"/>
      <c r="H730" s="218"/>
      <c r="I730" s="218"/>
      <c r="J730" s="218"/>
      <c r="K730" s="218"/>
      <c r="L730" s="218"/>
      <c r="M730" s="218"/>
      <c r="N730" s="218"/>
      <c r="O730" s="218"/>
      <c r="P730" s="218"/>
      <c r="Q730" s="218"/>
    </row>
    <row r="731">
      <c r="A731" s="218"/>
      <c r="B731" s="218"/>
      <c r="C731" s="218"/>
      <c r="D731" s="218"/>
      <c r="E731" s="218"/>
      <c r="F731" s="218"/>
      <c r="G731" s="218"/>
      <c r="H731" s="218"/>
      <c r="I731" s="218"/>
      <c r="J731" s="218"/>
      <c r="K731" s="218"/>
      <c r="L731" s="218"/>
      <c r="M731" s="218"/>
      <c r="N731" s="218"/>
      <c r="O731" s="218"/>
      <c r="P731" s="218"/>
      <c r="Q731" s="218"/>
    </row>
    <row r="732">
      <c r="A732" s="218"/>
      <c r="B732" s="218"/>
      <c r="C732" s="218"/>
      <c r="D732" s="218"/>
      <c r="E732" s="218"/>
      <c r="F732" s="218"/>
      <c r="G732" s="218"/>
      <c r="H732" s="218"/>
      <c r="I732" s="218"/>
      <c r="J732" s="218"/>
      <c r="K732" s="218"/>
      <c r="L732" s="218"/>
      <c r="M732" s="218"/>
      <c r="N732" s="218"/>
      <c r="O732" s="218"/>
      <c r="P732" s="218"/>
      <c r="Q732" s="218"/>
    </row>
    <row r="733">
      <c r="A733" s="218"/>
      <c r="B733" s="218"/>
      <c r="C733" s="218"/>
      <c r="D733" s="218"/>
      <c r="E733" s="218"/>
      <c r="F733" s="218"/>
      <c r="G733" s="218"/>
      <c r="H733" s="218"/>
      <c r="I733" s="218"/>
      <c r="J733" s="218"/>
      <c r="K733" s="218"/>
      <c r="L733" s="218"/>
      <c r="M733" s="218"/>
      <c r="N733" s="218"/>
      <c r="O733" s="218"/>
      <c r="P733" s="218"/>
      <c r="Q733" s="218"/>
    </row>
    <row r="734">
      <c r="A734" s="218"/>
      <c r="B734" s="218"/>
      <c r="C734" s="218"/>
      <c r="D734" s="218"/>
      <c r="E734" s="218"/>
      <c r="F734" s="218"/>
      <c r="G734" s="218"/>
      <c r="H734" s="218"/>
      <c r="I734" s="218"/>
      <c r="J734" s="218"/>
      <c r="K734" s="218"/>
      <c r="L734" s="218"/>
      <c r="M734" s="218"/>
      <c r="N734" s="218"/>
      <c r="O734" s="218"/>
      <c r="P734" s="218"/>
      <c r="Q734" s="218"/>
    </row>
    <row r="735">
      <c r="A735" s="218"/>
      <c r="B735" s="218"/>
      <c r="C735" s="218"/>
      <c r="D735" s="218"/>
      <c r="E735" s="218"/>
      <c r="F735" s="218"/>
      <c r="G735" s="218"/>
      <c r="H735" s="218"/>
      <c r="I735" s="218"/>
      <c r="J735" s="218"/>
      <c r="K735" s="218"/>
      <c r="L735" s="218"/>
      <c r="M735" s="218"/>
      <c r="N735" s="218"/>
      <c r="O735" s="218"/>
      <c r="P735" s="218"/>
      <c r="Q735" s="218"/>
    </row>
    <row r="736">
      <c r="A736" s="218"/>
      <c r="B736" s="218"/>
      <c r="C736" s="218"/>
      <c r="D736" s="218"/>
      <c r="E736" s="218"/>
      <c r="F736" s="218"/>
      <c r="G736" s="218"/>
      <c r="H736" s="218"/>
      <c r="I736" s="218"/>
      <c r="J736" s="218"/>
      <c r="K736" s="218"/>
      <c r="L736" s="218"/>
      <c r="M736" s="218"/>
      <c r="N736" s="218"/>
      <c r="O736" s="218"/>
      <c r="P736" s="218"/>
      <c r="Q736" s="218"/>
    </row>
    <row r="737">
      <c r="A737" s="218"/>
      <c r="B737" s="218"/>
      <c r="C737" s="218"/>
      <c r="D737" s="218"/>
      <c r="E737" s="218"/>
      <c r="F737" s="218"/>
      <c r="G737" s="218"/>
      <c r="H737" s="218"/>
      <c r="I737" s="218"/>
      <c r="J737" s="218"/>
      <c r="K737" s="218"/>
      <c r="L737" s="218"/>
      <c r="M737" s="218"/>
      <c r="N737" s="218"/>
      <c r="O737" s="218"/>
      <c r="P737" s="218"/>
      <c r="Q737" s="218"/>
    </row>
    <row r="738">
      <c r="A738" s="218"/>
      <c r="B738" s="218"/>
      <c r="C738" s="218"/>
      <c r="D738" s="218"/>
      <c r="E738" s="218"/>
      <c r="F738" s="218"/>
      <c r="G738" s="218"/>
      <c r="H738" s="218"/>
      <c r="I738" s="218"/>
      <c r="J738" s="218"/>
      <c r="K738" s="218"/>
      <c r="L738" s="218"/>
      <c r="M738" s="218"/>
      <c r="N738" s="218"/>
      <c r="O738" s="218"/>
      <c r="P738" s="218"/>
      <c r="Q738" s="218"/>
    </row>
    <row r="739">
      <c r="A739" s="218"/>
      <c r="B739" s="218"/>
      <c r="C739" s="218"/>
      <c r="D739" s="218"/>
      <c r="E739" s="218"/>
      <c r="F739" s="218"/>
      <c r="G739" s="218"/>
      <c r="H739" s="218"/>
      <c r="I739" s="218"/>
      <c r="J739" s="218"/>
      <c r="K739" s="218"/>
      <c r="L739" s="218"/>
      <c r="M739" s="218"/>
      <c r="N739" s="218"/>
      <c r="O739" s="218"/>
      <c r="P739" s="218"/>
      <c r="Q739" s="218"/>
    </row>
    <row r="740">
      <c r="A740" s="218"/>
      <c r="B740" s="218"/>
      <c r="C740" s="218"/>
      <c r="D740" s="218"/>
      <c r="E740" s="218"/>
      <c r="F740" s="218"/>
      <c r="G740" s="218"/>
      <c r="H740" s="218"/>
      <c r="I740" s="218"/>
      <c r="J740" s="218"/>
      <c r="K740" s="218"/>
      <c r="L740" s="218"/>
      <c r="M740" s="218"/>
      <c r="N740" s="218"/>
      <c r="O740" s="218"/>
      <c r="P740" s="218"/>
      <c r="Q740" s="218"/>
    </row>
    <row r="741">
      <c r="A741" s="218"/>
      <c r="B741" s="218"/>
      <c r="C741" s="218"/>
      <c r="D741" s="218"/>
      <c r="E741" s="218"/>
      <c r="F741" s="218"/>
      <c r="G741" s="218"/>
      <c r="H741" s="218"/>
      <c r="I741" s="218"/>
      <c r="J741" s="218"/>
      <c r="K741" s="218"/>
      <c r="L741" s="218"/>
      <c r="M741" s="218"/>
      <c r="N741" s="218"/>
      <c r="O741" s="218"/>
      <c r="P741" s="218"/>
      <c r="Q741" s="218"/>
    </row>
    <row r="742">
      <c r="A742" s="218"/>
      <c r="B742" s="218"/>
      <c r="C742" s="218"/>
      <c r="D742" s="218"/>
      <c r="E742" s="218"/>
      <c r="F742" s="218"/>
      <c r="G742" s="218"/>
      <c r="H742" s="218"/>
      <c r="I742" s="218"/>
      <c r="J742" s="218"/>
      <c r="K742" s="218"/>
      <c r="L742" s="218"/>
      <c r="M742" s="218"/>
      <c r="N742" s="218"/>
      <c r="O742" s="218"/>
      <c r="P742" s="218"/>
      <c r="Q742" s="218"/>
    </row>
    <row r="743">
      <c r="A743" s="218"/>
      <c r="B743" s="218"/>
      <c r="C743" s="218"/>
      <c r="D743" s="218"/>
      <c r="E743" s="218"/>
      <c r="F743" s="218"/>
      <c r="G743" s="218"/>
      <c r="H743" s="218"/>
      <c r="I743" s="218"/>
      <c r="J743" s="218"/>
      <c r="K743" s="218"/>
      <c r="L743" s="218"/>
      <c r="M743" s="218"/>
      <c r="N743" s="218"/>
      <c r="O743" s="218"/>
      <c r="P743" s="218"/>
      <c r="Q743" s="218"/>
    </row>
    <row r="744">
      <c r="A744" s="218"/>
      <c r="B744" s="218"/>
      <c r="C744" s="218"/>
      <c r="D744" s="218"/>
      <c r="E744" s="218"/>
      <c r="F744" s="218"/>
      <c r="G744" s="218"/>
      <c r="H744" s="218"/>
      <c r="I744" s="218"/>
      <c r="J744" s="218"/>
      <c r="K744" s="218"/>
      <c r="L744" s="218"/>
      <c r="M744" s="218"/>
      <c r="N744" s="218"/>
      <c r="O744" s="218"/>
      <c r="P744" s="218"/>
      <c r="Q744" s="218"/>
    </row>
    <row r="745">
      <c r="A745" s="218"/>
      <c r="B745" s="218"/>
      <c r="C745" s="218"/>
      <c r="D745" s="218"/>
      <c r="E745" s="218"/>
      <c r="F745" s="218"/>
      <c r="G745" s="218"/>
      <c r="H745" s="218"/>
      <c r="I745" s="218"/>
      <c r="J745" s="218"/>
      <c r="K745" s="218"/>
      <c r="L745" s="218"/>
      <c r="M745" s="218"/>
      <c r="N745" s="218"/>
      <c r="O745" s="218"/>
      <c r="P745" s="218"/>
      <c r="Q745" s="218"/>
    </row>
    <row r="746">
      <c r="A746" s="218"/>
      <c r="B746" s="218"/>
      <c r="C746" s="218"/>
      <c r="D746" s="218"/>
      <c r="E746" s="218"/>
      <c r="F746" s="218"/>
      <c r="G746" s="218"/>
      <c r="H746" s="218"/>
      <c r="I746" s="218"/>
      <c r="J746" s="218"/>
      <c r="K746" s="218"/>
      <c r="L746" s="218"/>
      <c r="M746" s="218"/>
      <c r="N746" s="218"/>
      <c r="O746" s="218"/>
      <c r="P746" s="218"/>
      <c r="Q746" s="218"/>
    </row>
    <row r="747">
      <c r="A747" s="218"/>
      <c r="B747" s="218"/>
      <c r="C747" s="218"/>
      <c r="D747" s="218"/>
      <c r="E747" s="218"/>
      <c r="F747" s="218"/>
      <c r="G747" s="218"/>
      <c r="H747" s="218"/>
      <c r="I747" s="218"/>
      <c r="J747" s="218"/>
      <c r="K747" s="218"/>
      <c r="L747" s="218"/>
      <c r="M747" s="218"/>
      <c r="N747" s="218"/>
      <c r="O747" s="218"/>
      <c r="P747" s="218"/>
      <c r="Q747" s="218"/>
    </row>
    <row r="748">
      <c r="A748" s="218"/>
      <c r="B748" s="218"/>
      <c r="C748" s="218"/>
      <c r="D748" s="218"/>
      <c r="E748" s="218"/>
      <c r="F748" s="218"/>
      <c r="G748" s="218"/>
      <c r="H748" s="218"/>
      <c r="I748" s="218"/>
      <c r="J748" s="218"/>
      <c r="K748" s="218"/>
      <c r="L748" s="218"/>
      <c r="M748" s="218"/>
      <c r="N748" s="218"/>
      <c r="O748" s="218"/>
      <c r="P748" s="218"/>
      <c r="Q748" s="218"/>
    </row>
    <row r="749">
      <c r="A749" s="218"/>
      <c r="B749" s="218"/>
      <c r="C749" s="218"/>
      <c r="D749" s="218"/>
      <c r="E749" s="218"/>
      <c r="F749" s="218"/>
      <c r="G749" s="218"/>
      <c r="H749" s="218"/>
      <c r="I749" s="218"/>
      <c r="J749" s="218"/>
      <c r="K749" s="218"/>
      <c r="L749" s="218"/>
      <c r="M749" s="218"/>
      <c r="N749" s="218"/>
      <c r="O749" s="218"/>
      <c r="P749" s="218"/>
      <c r="Q749" s="218"/>
    </row>
    <row r="750">
      <c r="A750" s="218"/>
      <c r="B750" s="218"/>
      <c r="C750" s="218"/>
      <c r="D750" s="218"/>
      <c r="E750" s="218"/>
      <c r="F750" s="218"/>
      <c r="G750" s="218"/>
      <c r="H750" s="218"/>
      <c r="I750" s="218"/>
      <c r="J750" s="218"/>
      <c r="K750" s="218"/>
      <c r="L750" s="218"/>
      <c r="M750" s="218"/>
      <c r="N750" s="218"/>
      <c r="O750" s="218"/>
      <c r="P750" s="218"/>
      <c r="Q750" s="218"/>
    </row>
    <row r="751">
      <c r="A751" s="218"/>
      <c r="B751" s="218"/>
      <c r="C751" s="218"/>
      <c r="D751" s="218"/>
      <c r="E751" s="218"/>
      <c r="F751" s="218"/>
      <c r="G751" s="218"/>
      <c r="H751" s="218"/>
      <c r="I751" s="218"/>
      <c r="J751" s="218"/>
      <c r="K751" s="218"/>
      <c r="L751" s="218"/>
      <c r="M751" s="218"/>
      <c r="N751" s="218"/>
      <c r="O751" s="218"/>
      <c r="P751" s="218"/>
      <c r="Q751" s="218"/>
    </row>
    <row r="752">
      <c r="A752" s="218"/>
      <c r="B752" s="218"/>
      <c r="C752" s="218"/>
      <c r="D752" s="218"/>
      <c r="E752" s="218"/>
      <c r="F752" s="218"/>
      <c r="G752" s="218"/>
      <c r="H752" s="218"/>
      <c r="I752" s="218"/>
      <c r="J752" s="218"/>
      <c r="K752" s="218"/>
      <c r="L752" s="218"/>
      <c r="M752" s="218"/>
      <c r="N752" s="218"/>
      <c r="O752" s="218"/>
      <c r="P752" s="218"/>
      <c r="Q752" s="218"/>
    </row>
    <row r="753">
      <c r="A753" s="218"/>
      <c r="B753" s="218"/>
      <c r="C753" s="218"/>
      <c r="D753" s="218"/>
      <c r="E753" s="218"/>
      <c r="F753" s="218"/>
      <c r="G753" s="218"/>
      <c r="H753" s="218"/>
      <c r="I753" s="218"/>
      <c r="J753" s="218"/>
      <c r="K753" s="218"/>
      <c r="L753" s="218"/>
      <c r="M753" s="218"/>
      <c r="N753" s="218"/>
      <c r="O753" s="218"/>
      <c r="P753" s="218"/>
      <c r="Q753" s="218"/>
    </row>
    <row r="754">
      <c r="A754" s="218"/>
      <c r="B754" s="218"/>
      <c r="C754" s="218"/>
      <c r="D754" s="218"/>
      <c r="E754" s="218"/>
      <c r="F754" s="218"/>
      <c r="G754" s="218"/>
      <c r="H754" s="218"/>
      <c r="I754" s="218"/>
      <c r="J754" s="218"/>
      <c r="K754" s="218"/>
      <c r="L754" s="218"/>
      <c r="M754" s="218"/>
      <c r="N754" s="218"/>
      <c r="O754" s="218"/>
      <c r="P754" s="218"/>
      <c r="Q754" s="218"/>
    </row>
    <row r="755">
      <c r="A755" s="218"/>
      <c r="B755" s="218"/>
      <c r="C755" s="218"/>
      <c r="D755" s="218"/>
      <c r="E755" s="218"/>
      <c r="F755" s="218"/>
      <c r="G755" s="218"/>
      <c r="H755" s="218"/>
      <c r="I755" s="218"/>
      <c r="J755" s="218"/>
      <c r="K755" s="218"/>
      <c r="L755" s="218"/>
      <c r="M755" s="218"/>
      <c r="N755" s="218"/>
      <c r="O755" s="218"/>
      <c r="P755" s="218"/>
      <c r="Q755" s="218"/>
    </row>
    <row r="756">
      <c r="A756" s="218"/>
      <c r="B756" s="218"/>
      <c r="C756" s="218"/>
      <c r="D756" s="218"/>
      <c r="E756" s="218"/>
      <c r="F756" s="218"/>
      <c r="G756" s="218"/>
      <c r="H756" s="218"/>
      <c r="I756" s="218"/>
      <c r="J756" s="218"/>
      <c r="K756" s="218"/>
      <c r="L756" s="218"/>
      <c r="M756" s="218"/>
      <c r="N756" s="218"/>
      <c r="O756" s="218"/>
      <c r="P756" s="218"/>
      <c r="Q756" s="218"/>
    </row>
    <row r="757">
      <c r="A757" s="218"/>
      <c r="B757" s="218"/>
      <c r="C757" s="218"/>
      <c r="D757" s="218"/>
      <c r="E757" s="218"/>
      <c r="F757" s="218"/>
      <c r="G757" s="218"/>
      <c r="H757" s="218"/>
      <c r="I757" s="218"/>
      <c r="J757" s="218"/>
      <c r="K757" s="218"/>
      <c r="L757" s="218"/>
      <c r="M757" s="218"/>
      <c r="N757" s="218"/>
      <c r="O757" s="218"/>
      <c r="P757" s="218"/>
      <c r="Q757" s="218"/>
    </row>
    <row r="758">
      <c r="A758" s="218"/>
      <c r="B758" s="218"/>
      <c r="C758" s="218"/>
      <c r="D758" s="218"/>
      <c r="E758" s="218"/>
      <c r="F758" s="218"/>
      <c r="G758" s="218"/>
      <c r="H758" s="218"/>
      <c r="I758" s="218"/>
      <c r="J758" s="218"/>
      <c r="K758" s="218"/>
      <c r="L758" s="218"/>
      <c r="M758" s="218"/>
      <c r="N758" s="218"/>
      <c r="O758" s="218"/>
      <c r="P758" s="218"/>
      <c r="Q758" s="218"/>
    </row>
    <row r="759">
      <c r="A759" s="218"/>
      <c r="B759" s="218"/>
      <c r="C759" s="218"/>
      <c r="D759" s="218"/>
      <c r="E759" s="218"/>
      <c r="F759" s="218"/>
      <c r="G759" s="218"/>
      <c r="H759" s="218"/>
      <c r="I759" s="218"/>
      <c r="J759" s="218"/>
      <c r="K759" s="218"/>
      <c r="L759" s="218"/>
      <c r="M759" s="218"/>
      <c r="N759" s="218"/>
      <c r="O759" s="218"/>
      <c r="P759" s="218"/>
      <c r="Q759" s="218"/>
    </row>
    <row r="760">
      <c r="A760" s="218"/>
      <c r="B760" s="218"/>
      <c r="C760" s="218"/>
      <c r="D760" s="218"/>
      <c r="E760" s="218"/>
      <c r="F760" s="218"/>
      <c r="G760" s="218"/>
      <c r="H760" s="218"/>
      <c r="I760" s="218"/>
      <c r="J760" s="218"/>
      <c r="K760" s="218"/>
      <c r="L760" s="218"/>
      <c r="M760" s="218"/>
      <c r="N760" s="218"/>
      <c r="O760" s="218"/>
      <c r="P760" s="218"/>
      <c r="Q760" s="218"/>
    </row>
    <row r="761">
      <c r="A761" s="218"/>
      <c r="B761" s="218"/>
      <c r="C761" s="218"/>
      <c r="D761" s="218"/>
      <c r="E761" s="218"/>
      <c r="F761" s="218"/>
      <c r="G761" s="218"/>
      <c r="H761" s="218"/>
      <c r="I761" s="218"/>
      <c r="J761" s="218"/>
      <c r="K761" s="218"/>
      <c r="L761" s="218"/>
      <c r="M761" s="218"/>
      <c r="N761" s="218"/>
      <c r="O761" s="218"/>
      <c r="P761" s="218"/>
      <c r="Q761" s="218"/>
    </row>
    <row r="762">
      <c r="A762" s="218"/>
      <c r="B762" s="218"/>
      <c r="C762" s="218"/>
      <c r="D762" s="218"/>
      <c r="E762" s="218"/>
      <c r="F762" s="218"/>
      <c r="G762" s="218"/>
      <c r="H762" s="218"/>
      <c r="I762" s="218"/>
      <c r="J762" s="218"/>
      <c r="K762" s="218"/>
      <c r="L762" s="218"/>
      <c r="M762" s="218"/>
      <c r="N762" s="218"/>
      <c r="O762" s="218"/>
      <c r="P762" s="218"/>
      <c r="Q762" s="218"/>
    </row>
    <row r="763">
      <c r="A763" s="218"/>
      <c r="B763" s="218"/>
      <c r="C763" s="218"/>
      <c r="D763" s="218"/>
      <c r="E763" s="218"/>
      <c r="F763" s="218"/>
      <c r="G763" s="218"/>
      <c r="H763" s="218"/>
      <c r="I763" s="218"/>
      <c r="J763" s="218"/>
      <c r="K763" s="218"/>
      <c r="L763" s="218"/>
      <c r="M763" s="218"/>
      <c r="N763" s="218"/>
      <c r="O763" s="218"/>
      <c r="P763" s="218"/>
      <c r="Q763" s="218"/>
    </row>
    <row r="764">
      <c r="A764" s="218"/>
      <c r="B764" s="218"/>
      <c r="C764" s="218"/>
      <c r="D764" s="218"/>
      <c r="E764" s="218"/>
      <c r="F764" s="218"/>
      <c r="G764" s="218"/>
      <c r="H764" s="218"/>
      <c r="I764" s="218"/>
      <c r="J764" s="218"/>
      <c r="K764" s="218"/>
      <c r="L764" s="218"/>
      <c r="M764" s="218"/>
      <c r="N764" s="218"/>
      <c r="O764" s="218"/>
      <c r="P764" s="218"/>
      <c r="Q764" s="218"/>
    </row>
    <row r="765">
      <c r="A765" s="218"/>
      <c r="B765" s="218"/>
      <c r="C765" s="218"/>
      <c r="D765" s="218"/>
      <c r="E765" s="218"/>
      <c r="F765" s="218"/>
      <c r="G765" s="218"/>
      <c r="H765" s="218"/>
      <c r="I765" s="218"/>
      <c r="J765" s="218"/>
      <c r="K765" s="218"/>
      <c r="L765" s="218"/>
      <c r="M765" s="218"/>
      <c r="N765" s="218"/>
      <c r="O765" s="218"/>
      <c r="P765" s="218"/>
      <c r="Q765" s="218"/>
    </row>
    <row r="766">
      <c r="A766" s="218"/>
      <c r="B766" s="218"/>
      <c r="C766" s="218"/>
      <c r="D766" s="218"/>
      <c r="E766" s="218"/>
      <c r="F766" s="218"/>
      <c r="G766" s="218"/>
      <c r="H766" s="218"/>
      <c r="I766" s="218"/>
      <c r="J766" s="218"/>
      <c r="K766" s="218"/>
      <c r="L766" s="218"/>
      <c r="M766" s="218"/>
      <c r="N766" s="218"/>
      <c r="O766" s="218"/>
      <c r="P766" s="218"/>
      <c r="Q766" s="218"/>
    </row>
    <row r="767">
      <c r="A767" s="218"/>
      <c r="B767" s="218"/>
      <c r="C767" s="218"/>
      <c r="D767" s="218"/>
      <c r="E767" s="218"/>
      <c r="F767" s="218"/>
      <c r="G767" s="218"/>
      <c r="H767" s="218"/>
      <c r="I767" s="218"/>
      <c r="J767" s="218"/>
      <c r="K767" s="218"/>
      <c r="L767" s="218"/>
      <c r="M767" s="218"/>
      <c r="N767" s="218"/>
      <c r="O767" s="218"/>
      <c r="P767" s="218"/>
      <c r="Q767" s="218"/>
    </row>
    <row r="768">
      <c r="A768" s="218"/>
      <c r="B768" s="218"/>
      <c r="C768" s="218"/>
      <c r="D768" s="218"/>
      <c r="E768" s="218"/>
      <c r="F768" s="218"/>
      <c r="G768" s="218"/>
      <c r="H768" s="218"/>
      <c r="I768" s="218"/>
      <c r="J768" s="218"/>
      <c r="K768" s="218"/>
      <c r="L768" s="218"/>
      <c r="M768" s="218"/>
      <c r="N768" s="218"/>
      <c r="O768" s="218"/>
      <c r="P768" s="218"/>
      <c r="Q768" s="218"/>
    </row>
    <row r="769">
      <c r="A769" s="218"/>
      <c r="B769" s="218"/>
      <c r="C769" s="218"/>
      <c r="D769" s="218"/>
      <c r="E769" s="218"/>
      <c r="F769" s="218"/>
      <c r="G769" s="218"/>
      <c r="H769" s="218"/>
      <c r="I769" s="218"/>
      <c r="J769" s="218"/>
      <c r="K769" s="218"/>
      <c r="L769" s="218"/>
      <c r="M769" s="218"/>
      <c r="N769" s="218"/>
      <c r="O769" s="218"/>
      <c r="P769" s="218"/>
      <c r="Q769" s="218"/>
    </row>
    <row r="770">
      <c r="A770" s="218"/>
      <c r="B770" s="218"/>
      <c r="C770" s="218"/>
      <c r="D770" s="218"/>
      <c r="E770" s="218"/>
      <c r="F770" s="218"/>
      <c r="G770" s="218"/>
      <c r="H770" s="218"/>
      <c r="I770" s="218"/>
      <c r="J770" s="218"/>
      <c r="K770" s="218"/>
      <c r="L770" s="218"/>
      <c r="M770" s="218"/>
      <c r="N770" s="218"/>
      <c r="O770" s="218"/>
      <c r="P770" s="218"/>
      <c r="Q770" s="218"/>
    </row>
    <row r="771">
      <c r="A771" s="218"/>
      <c r="B771" s="218"/>
      <c r="C771" s="218"/>
      <c r="D771" s="218"/>
      <c r="E771" s="218"/>
      <c r="F771" s="218"/>
      <c r="G771" s="218"/>
      <c r="H771" s="218"/>
      <c r="I771" s="218"/>
      <c r="J771" s="218"/>
      <c r="K771" s="218"/>
      <c r="L771" s="218"/>
      <c r="M771" s="218"/>
      <c r="N771" s="218"/>
      <c r="O771" s="218"/>
      <c r="P771" s="218"/>
      <c r="Q771" s="218"/>
    </row>
    <row r="772">
      <c r="A772" s="218"/>
      <c r="B772" s="218"/>
      <c r="C772" s="218"/>
      <c r="D772" s="218"/>
      <c r="E772" s="218"/>
      <c r="F772" s="218"/>
      <c r="G772" s="218"/>
      <c r="H772" s="218"/>
      <c r="I772" s="218"/>
      <c r="J772" s="218"/>
      <c r="K772" s="218"/>
      <c r="L772" s="218"/>
      <c r="M772" s="218"/>
      <c r="N772" s="218"/>
      <c r="O772" s="218"/>
      <c r="P772" s="218"/>
      <c r="Q772" s="218"/>
    </row>
    <row r="773">
      <c r="A773" s="218"/>
      <c r="B773" s="218"/>
      <c r="C773" s="218"/>
      <c r="D773" s="218"/>
      <c r="E773" s="218"/>
      <c r="F773" s="218"/>
      <c r="G773" s="218"/>
      <c r="H773" s="218"/>
      <c r="I773" s="218"/>
      <c r="J773" s="218"/>
      <c r="K773" s="218"/>
      <c r="L773" s="218"/>
      <c r="M773" s="218"/>
      <c r="N773" s="218"/>
      <c r="O773" s="218"/>
      <c r="P773" s="218"/>
      <c r="Q773" s="218"/>
    </row>
    <row r="774">
      <c r="A774" s="218"/>
      <c r="B774" s="218"/>
      <c r="C774" s="218"/>
      <c r="D774" s="218"/>
      <c r="E774" s="218"/>
      <c r="F774" s="218"/>
      <c r="G774" s="218"/>
      <c r="H774" s="218"/>
      <c r="I774" s="218"/>
      <c r="J774" s="218"/>
      <c r="K774" s="218"/>
      <c r="L774" s="218"/>
      <c r="M774" s="218"/>
      <c r="N774" s="218"/>
      <c r="O774" s="218"/>
      <c r="P774" s="218"/>
      <c r="Q774" s="218"/>
    </row>
    <row r="775">
      <c r="A775" s="218"/>
      <c r="B775" s="218"/>
      <c r="C775" s="218"/>
      <c r="D775" s="218"/>
      <c r="E775" s="218"/>
      <c r="F775" s="218"/>
      <c r="G775" s="218"/>
      <c r="H775" s="218"/>
      <c r="I775" s="218"/>
      <c r="J775" s="218"/>
      <c r="K775" s="218"/>
      <c r="L775" s="218"/>
      <c r="M775" s="218"/>
      <c r="N775" s="218"/>
      <c r="O775" s="218"/>
      <c r="P775" s="218"/>
      <c r="Q775" s="218"/>
    </row>
    <row r="776">
      <c r="A776" s="218"/>
      <c r="B776" s="218"/>
      <c r="C776" s="218"/>
      <c r="D776" s="218"/>
      <c r="E776" s="218"/>
      <c r="F776" s="218"/>
      <c r="G776" s="218"/>
      <c r="H776" s="218"/>
      <c r="I776" s="218"/>
      <c r="J776" s="218"/>
      <c r="K776" s="218"/>
      <c r="L776" s="218"/>
      <c r="M776" s="218"/>
      <c r="N776" s="218"/>
      <c r="O776" s="218"/>
      <c r="P776" s="218"/>
      <c r="Q776" s="218"/>
    </row>
    <row r="777">
      <c r="A777" s="218"/>
      <c r="B777" s="218"/>
      <c r="C777" s="218"/>
      <c r="D777" s="218"/>
      <c r="E777" s="218"/>
      <c r="F777" s="218"/>
      <c r="G777" s="218"/>
      <c r="H777" s="218"/>
      <c r="I777" s="218"/>
      <c r="J777" s="218"/>
      <c r="K777" s="218"/>
      <c r="L777" s="218"/>
      <c r="M777" s="218"/>
      <c r="N777" s="218"/>
      <c r="O777" s="218"/>
      <c r="P777" s="218"/>
      <c r="Q777" s="218"/>
    </row>
    <row r="778">
      <c r="A778" s="218"/>
      <c r="B778" s="218"/>
      <c r="C778" s="218"/>
      <c r="D778" s="218"/>
      <c r="E778" s="218"/>
      <c r="F778" s="218"/>
      <c r="G778" s="218"/>
      <c r="H778" s="218"/>
      <c r="I778" s="218"/>
      <c r="J778" s="218"/>
      <c r="K778" s="218"/>
      <c r="L778" s="218"/>
      <c r="M778" s="218"/>
      <c r="N778" s="218"/>
      <c r="O778" s="218"/>
      <c r="P778" s="218"/>
      <c r="Q778" s="218"/>
    </row>
    <row r="779">
      <c r="A779" s="218"/>
      <c r="B779" s="218"/>
      <c r="C779" s="218"/>
      <c r="D779" s="218"/>
      <c r="E779" s="218"/>
      <c r="F779" s="218"/>
      <c r="G779" s="218"/>
      <c r="H779" s="218"/>
      <c r="I779" s="218"/>
      <c r="J779" s="218"/>
      <c r="K779" s="218"/>
      <c r="L779" s="218"/>
      <c r="M779" s="218"/>
      <c r="N779" s="218"/>
      <c r="O779" s="218"/>
      <c r="P779" s="218"/>
      <c r="Q779" s="218"/>
    </row>
    <row r="780">
      <c r="A780" s="218"/>
      <c r="B780" s="218"/>
      <c r="C780" s="218"/>
      <c r="D780" s="218"/>
      <c r="E780" s="218"/>
      <c r="F780" s="218"/>
      <c r="G780" s="218"/>
      <c r="H780" s="218"/>
      <c r="I780" s="218"/>
      <c r="J780" s="218"/>
      <c r="K780" s="218"/>
      <c r="L780" s="218"/>
      <c r="M780" s="218"/>
      <c r="N780" s="218"/>
      <c r="O780" s="218"/>
      <c r="P780" s="218"/>
      <c r="Q780" s="218"/>
    </row>
    <row r="781">
      <c r="A781" s="218"/>
      <c r="B781" s="218"/>
      <c r="C781" s="218"/>
      <c r="D781" s="218"/>
      <c r="E781" s="218"/>
      <c r="F781" s="218"/>
      <c r="G781" s="218"/>
      <c r="H781" s="218"/>
      <c r="I781" s="218"/>
      <c r="J781" s="218"/>
      <c r="K781" s="218"/>
      <c r="L781" s="218"/>
      <c r="M781" s="218"/>
      <c r="N781" s="218"/>
      <c r="O781" s="218"/>
      <c r="P781" s="218"/>
      <c r="Q781" s="218"/>
    </row>
    <row r="782">
      <c r="A782" s="218"/>
      <c r="B782" s="218"/>
      <c r="C782" s="218"/>
      <c r="D782" s="218"/>
      <c r="E782" s="218"/>
      <c r="F782" s="218"/>
      <c r="G782" s="218"/>
      <c r="H782" s="218"/>
      <c r="I782" s="218"/>
      <c r="J782" s="218"/>
      <c r="K782" s="218"/>
      <c r="L782" s="218"/>
      <c r="M782" s="218"/>
      <c r="N782" s="218"/>
      <c r="O782" s="218"/>
      <c r="P782" s="218"/>
      <c r="Q782" s="218"/>
    </row>
    <row r="783">
      <c r="A783" s="218"/>
      <c r="B783" s="218"/>
      <c r="C783" s="218"/>
      <c r="D783" s="218"/>
      <c r="E783" s="218"/>
      <c r="F783" s="218"/>
      <c r="G783" s="218"/>
      <c r="H783" s="218"/>
      <c r="I783" s="218"/>
      <c r="J783" s="218"/>
      <c r="K783" s="218"/>
      <c r="L783" s="218"/>
      <c r="M783" s="218"/>
      <c r="N783" s="218"/>
      <c r="O783" s="218"/>
      <c r="P783" s="218"/>
      <c r="Q783" s="218"/>
    </row>
    <row r="784">
      <c r="A784" s="218"/>
      <c r="B784" s="218"/>
      <c r="C784" s="218"/>
      <c r="D784" s="218"/>
      <c r="E784" s="218"/>
      <c r="F784" s="218"/>
      <c r="G784" s="218"/>
      <c r="H784" s="218"/>
      <c r="I784" s="218"/>
      <c r="J784" s="218"/>
      <c r="K784" s="218"/>
      <c r="L784" s="218"/>
      <c r="M784" s="218"/>
      <c r="N784" s="218"/>
      <c r="O784" s="218"/>
      <c r="P784" s="218"/>
      <c r="Q784" s="218"/>
    </row>
    <row r="785">
      <c r="A785" s="218"/>
      <c r="B785" s="218"/>
      <c r="C785" s="218"/>
      <c r="D785" s="218"/>
      <c r="E785" s="218"/>
      <c r="F785" s="218"/>
      <c r="G785" s="218"/>
      <c r="H785" s="218"/>
      <c r="I785" s="218"/>
      <c r="J785" s="218"/>
      <c r="K785" s="218"/>
      <c r="L785" s="218"/>
      <c r="M785" s="218"/>
      <c r="N785" s="218"/>
      <c r="O785" s="218"/>
      <c r="P785" s="218"/>
      <c r="Q785" s="218"/>
    </row>
    <row r="786">
      <c r="A786" s="218"/>
      <c r="B786" s="218"/>
      <c r="C786" s="218"/>
      <c r="D786" s="218"/>
      <c r="E786" s="218"/>
      <c r="F786" s="218"/>
      <c r="G786" s="218"/>
      <c r="H786" s="218"/>
      <c r="I786" s="218"/>
      <c r="J786" s="218"/>
      <c r="K786" s="218"/>
      <c r="L786" s="218"/>
      <c r="M786" s="218"/>
      <c r="N786" s="218"/>
      <c r="O786" s="218"/>
      <c r="P786" s="218"/>
      <c r="Q786" s="218"/>
    </row>
    <row r="787">
      <c r="A787" s="218"/>
      <c r="B787" s="218"/>
      <c r="C787" s="218"/>
      <c r="D787" s="218"/>
      <c r="E787" s="218"/>
      <c r="F787" s="218"/>
      <c r="G787" s="218"/>
      <c r="H787" s="218"/>
      <c r="I787" s="218"/>
      <c r="J787" s="218"/>
      <c r="K787" s="218"/>
      <c r="L787" s="218"/>
      <c r="M787" s="218"/>
      <c r="N787" s="218"/>
      <c r="O787" s="218"/>
      <c r="P787" s="218"/>
      <c r="Q787" s="218"/>
    </row>
    <row r="788">
      <c r="A788" s="218"/>
      <c r="B788" s="218"/>
      <c r="C788" s="218"/>
      <c r="D788" s="218"/>
      <c r="E788" s="218"/>
      <c r="F788" s="218"/>
      <c r="G788" s="218"/>
      <c r="H788" s="218"/>
      <c r="I788" s="218"/>
      <c r="J788" s="218"/>
      <c r="K788" s="218"/>
      <c r="L788" s="218"/>
      <c r="M788" s="218"/>
      <c r="N788" s="218"/>
      <c r="O788" s="218"/>
      <c r="P788" s="218"/>
      <c r="Q788" s="218"/>
    </row>
    <row r="789">
      <c r="A789" s="218"/>
      <c r="B789" s="218"/>
      <c r="C789" s="218"/>
      <c r="D789" s="218"/>
      <c r="E789" s="218"/>
      <c r="F789" s="218"/>
      <c r="G789" s="218"/>
      <c r="H789" s="218"/>
      <c r="I789" s="218"/>
      <c r="J789" s="218"/>
      <c r="K789" s="218"/>
      <c r="L789" s="218"/>
      <c r="M789" s="218"/>
      <c r="N789" s="218"/>
      <c r="O789" s="218"/>
      <c r="P789" s="218"/>
      <c r="Q789" s="218"/>
    </row>
    <row r="790">
      <c r="A790" s="218"/>
      <c r="B790" s="218"/>
      <c r="C790" s="218"/>
      <c r="D790" s="218"/>
      <c r="E790" s="218"/>
      <c r="F790" s="218"/>
      <c r="G790" s="218"/>
      <c r="H790" s="218"/>
      <c r="I790" s="218"/>
      <c r="J790" s="218"/>
      <c r="K790" s="218"/>
      <c r="L790" s="218"/>
      <c r="M790" s="218"/>
      <c r="N790" s="218"/>
      <c r="O790" s="218"/>
      <c r="P790" s="218"/>
      <c r="Q790" s="218"/>
    </row>
    <row r="791">
      <c r="A791" s="218"/>
      <c r="B791" s="218"/>
      <c r="C791" s="218"/>
      <c r="D791" s="218"/>
      <c r="E791" s="218"/>
      <c r="F791" s="218"/>
      <c r="G791" s="218"/>
      <c r="H791" s="218"/>
      <c r="I791" s="218"/>
      <c r="J791" s="218"/>
      <c r="K791" s="218"/>
      <c r="L791" s="218"/>
      <c r="M791" s="218"/>
      <c r="N791" s="218"/>
      <c r="O791" s="218"/>
      <c r="P791" s="218"/>
      <c r="Q791" s="218"/>
    </row>
    <row r="792">
      <c r="A792" s="218"/>
      <c r="B792" s="218"/>
      <c r="C792" s="218"/>
      <c r="D792" s="218"/>
      <c r="E792" s="218"/>
      <c r="F792" s="218"/>
      <c r="G792" s="218"/>
      <c r="H792" s="218"/>
      <c r="I792" s="218"/>
      <c r="J792" s="218"/>
      <c r="K792" s="218"/>
      <c r="L792" s="218"/>
      <c r="M792" s="218"/>
      <c r="N792" s="218"/>
      <c r="O792" s="218"/>
      <c r="P792" s="218"/>
      <c r="Q792" s="218"/>
    </row>
    <row r="793">
      <c r="A793" s="218"/>
      <c r="B793" s="218"/>
      <c r="C793" s="218"/>
      <c r="D793" s="218"/>
      <c r="E793" s="218"/>
      <c r="F793" s="218"/>
      <c r="G793" s="218"/>
      <c r="H793" s="218"/>
      <c r="I793" s="218"/>
      <c r="J793" s="218"/>
      <c r="K793" s="218"/>
      <c r="L793" s="218"/>
      <c r="M793" s="218"/>
      <c r="N793" s="218"/>
      <c r="O793" s="218"/>
      <c r="P793" s="218"/>
      <c r="Q793" s="218"/>
    </row>
    <row r="794">
      <c r="A794" s="218"/>
      <c r="B794" s="218"/>
      <c r="C794" s="218"/>
      <c r="D794" s="218"/>
      <c r="E794" s="218"/>
      <c r="F794" s="218"/>
      <c r="G794" s="218"/>
      <c r="H794" s="218"/>
      <c r="I794" s="218"/>
      <c r="J794" s="218"/>
      <c r="K794" s="218"/>
      <c r="L794" s="218"/>
      <c r="M794" s="218"/>
      <c r="N794" s="218"/>
      <c r="O794" s="218"/>
      <c r="P794" s="218"/>
      <c r="Q794" s="218"/>
    </row>
    <row r="795">
      <c r="A795" s="218"/>
      <c r="B795" s="218"/>
      <c r="C795" s="218"/>
      <c r="D795" s="218"/>
      <c r="E795" s="218"/>
      <c r="F795" s="218"/>
      <c r="G795" s="218"/>
      <c r="H795" s="218"/>
      <c r="I795" s="218"/>
      <c r="J795" s="218"/>
      <c r="K795" s="218"/>
      <c r="L795" s="218"/>
      <c r="M795" s="218"/>
      <c r="N795" s="218"/>
      <c r="O795" s="218"/>
      <c r="P795" s="218"/>
      <c r="Q795" s="218"/>
    </row>
    <row r="796">
      <c r="A796" s="218"/>
      <c r="B796" s="218"/>
      <c r="C796" s="218"/>
      <c r="D796" s="218"/>
      <c r="E796" s="218"/>
      <c r="F796" s="218"/>
      <c r="G796" s="218"/>
      <c r="H796" s="218"/>
      <c r="I796" s="218"/>
      <c r="J796" s="218"/>
      <c r="K796" s="218"/>
      <c r="L796" s="218"/>
      <c r="M796" s="218"/>
      <c r="N796" s="218"/>
      <c r="O796" s="218"/>
      <c r="P796" s="218"/>
      <c r="Q796" s="218"/>
    </row>
    <row r="797">
      <c r="A797" s="218"/>
      <c r="B797" s="218"/>
      <c r="C797" s="218"/>
      <c r="D797" s="218"/>
      <c r="E797" s="218"/>
      <c r="F797" s="218"/>
      <c r="G797" s="218"/>
      <c r="H797" s="218"/>
      <c r="I797" s="218"/>
      <c r="J797" s="218"/>
      <c r="K797" s="218"/>
      <c r="L797" s="218"/>
      <c r="M797" s="218"/>
      <c r="N797" s="218"/>
      <c r="O797" s="218"/>
      <c r="P797" s="218"/>
      <c r="Q797" s="218"/>
    </row>
    <row r="798">
      <c r="A798" s="218"/>
      <c r="B798" s="218"/>
      <c r="C798" s="218"/>
      <c r="D798" s="218"/>
      <c r="E798" s="218"/>
      <c r="F798" s="218"/>
      <c r="G798" s="218"/>
      <c r="H798" s="218"/>
      <c r="I798" s="218"/>
      <c r="J798" s="218"/>
      <c r="K798" s="218"/>
      <c r="L798" s="218"/>
      <c r="M798" s="218"/>
      <c r="N798" s="218"/>
      <c r="O798" s="218"/>
      <c r="P798" s="218"/>
      <c r="Q798" s="218"/>
    </row>
    <row r="799">
      <c r="A799" s="218"/>
      <c r="B799" s="218"/>
      <c r="C799" s="218"/>
      <c r="D799" s="218"/>
      <c r="E799" s="218"/>
      <c r="F799" s="218"/>
      <c r="G799" s="218"/>
      <c r="H799" s="218"/>
      <c r="I799" s="218"/>
      <c r="J799" s="218"/>
      <c r="K799" s="218"/>
      <c r="L799" s="218"/>
      <c r="M799" s="218"/>
      <c r="N799" s="218"/>
      <c r="O799" s="218"/>
      <c r="P799" s="218"/>
      <c r="Q799" s="218"/>
    </row>
    <row r="800">
      <c r="A800" s="218"/>
      <c r="B800" s="218"/>
      <c r="C800" s="218"/>
      <c r="D800" s="218"/>
      <c r="E800" s="218"/>
      <c r="F800" s="218"/>
      <c r="G800" s="218"/>
      <c r="H800" s="218"/>
      <c r="I800" s="218"/>
      <c r="J800" s="218"/>
      <c r="K800" s="218"/>
      <c r="L800" s="218"/>
      <c r="M800" s="218"/>
      <c r="N800" s="218"/>
      <c r="O800" s="218"/>
      <c r="P800" s="218"/>
      <c r="Q800" s="218"/>
    </row>
    <row r="801">
      <c r="A801" s="218"/>
      <c r="B801" s="218"/>
      <c r="C801" s="218"/>
      <c r="D801" s="218"/>
      <c r="E801" s="218"/>
      <c r="F801" s="218"/>
      <c r="G801" s="218"/>
      <c r="H801" s="218"/>
      <c r="I801" s="218"/>
      <c r="J801" s="218"/>
      <c r="K801" s="218"/>
      <c r="L801" s="218"/>
      <c r="M801" s="218"/>
      <c r="N801" s="218"/>
      <c r="O801" s="218"/>
      <c r="P801" s="218"/>
      <c r="Q801" s="218"/>
    </row>
    <row r="802">
      <c r="A802" s="218"/>
      <c r="B802" s="218"/>
      <c r="C802" s="218"/>
      <c r="D802" s="218"/>
      <c r="E802" s="218"/>
      <c r="F802" s="218"/>
      <c r="G802" s="218"/>
      <c r="H802" s="218"/>
      <c r="I802" s="218"/>
      <c r="J802" s="218"/>
      <c r="K802" s="218"/>
      <c r="L802" s="218"/>
      <c r="M802" s="218"/>
      <c r="N802" s="218"/>
      <c r="O802" s="218"/>
      <c r="P802" s="218"/>
      <c r="Q802" s="218"/>
    </row>
    <row r="803">
      <c r="A803" s="218"/>
      <c r="B803" s="218"/>
      <c r="C803" s="218"/>
      <c r="D803" s="218"/>
      <c r="E803" s="218"/>
      <c r="F803" s="218"/>
      <c r="G803" s="218"/>
      <c r="H803" s="218"/>
      <c r="I803" s="218"/>
      <c r="J803" s="218"/>
      <c r="K803" s="218"/>
      <c r="L803" s="218"/>
      <c r="M803" s="218"/>
      <c r="N803" s="218"/>
      <c r="O803" s="218"/>
      <c r="P803" s="218"/>
      <c r="Q803" s="218"/>
    </row>
    <row r="804">
      <c r="A804" s="218"/>
      <c r="B804" s="218"/>
      <c r="C804" s="218"/>
      <c r="D804" s="218"/>
      <c r="E804" s="218"/>
      <c r="F804" s="218"/>
      <c r="G804" s="218"/>
      <c r="H804" s="218"/>
      <c r="I804" s="218"/>
      <c r="J804" s="218"/>
      <c r="K804" s="218"/>
      <c r="L804" s="218"/>
      <c r="M804" s="218"/>
      <c r="N804" s="218"/>
      <c r="O804" s="218"/>
      <c r="P804" s="218"/>
      <c r="Q804" s="218"/>
    </row>
    <row r="805">
      <c r="A805" s="218"/>
      <c r="B805" s="218"/>
      <c r="C805" s="218"/>
      <c r="D805" s="218"/>
      <c r="E805" s="218"/>
      <c r="F805" s="218"/>
      <c r="G805" s="218"/>
      <c r="H805" s="218"/>
      <c r="I805" s="218"/>
      <c r="J805" s="218"/>
      <c r="K805" s="218"/>
      <c r="L805" s="218"/>
      <c r="M805" s="218"/>
      <c r="N805" s="218"/>
      <c r="O805" s="218"/>
      <c r="P805" s="218"/>
      <c r="Q805" s="218"/>
    </row>
    <row r="806">
      <c r="A806" s="218"/>
      <c r="B806" s="218"/>
      <c r="C806" s="218"/>
      <c r="D806" s="218"/>
      <c r="E806" s="218"/>
      <c r="F806" s="218"/>
      <c r="G806" s="218"/>
      <c r="H806" s="218"/>
      <c r="I806" s="218"/>
      <c r="J806" s="218"/>
      <c r="K806" s="218"/>
      <c r="L806" s="218"/>
      <c r="M806" s="218"/>
      <c r="N806" s="218"/>
      <c r="O806" s="218"/>
      <c r="P806" s="218"/>
      <c r="Q806" s="218"/>
    </row>
    <row r="807">
      <c r="A807" s="218"/>
      <c r="B807" s="218"/>
      <c r="C807" s="218"/>
      <c r="D807" s="218"/>
      <c r="E807" s="218"/>
      <c r="F807" s="218"/>
      <c r="G807" s="218"/>
      <c r="H807" s="218"/>
      <c r="I807" s="218"/>
      <c r="J807" s="218"/>
      <c r="K807" s="218"/>
      <c r="L807" s="218"/>
      <c r="M807" s="218"/>
      <c r="N807" s="218"/>
      <c r="O807" s="218"/>
      <c r="P807" s="218"/>
      <c r="Q807" s="218"/>
    </row>
    <row r="808">
      <c r="A808" s="218"/>
      <c r="B808" s="218"/>
      <c r="C808" s="218"/>
      <c r="D808" s="218"/>
      <c r="E808" s="218"/>
      <c r="F808" s="218"/>
      <c r="G808" s="218"/>
      <c r="H808" s="218"/>
      <c r="I808" s="218"/>
      <c r="J808" s="218"/>
      <c r="K808" s="218"/>
      <c r="L808" s="218"/>
      <c r="M808" s="218"/>
      <c r="N808" s="218"/>
      <c r="O808" s="218"/>
      <c r="P808" s="218"/>
      <c r="Q808" s="218"/>
    </row>
    <row r="809">
      <c r="A809" s="218"/>
      <c r="B809" s="218"/>
      <c r="C809" s="218"/>
      <c r="D809" s="218"/>
      <c r="E809" s="218"/>
      <c r="F809" s="218"/>
      <c r="G809" s="218"/>
      <c r="H809" s="218"/>
      <c r="I809" s="218"/>
      <c r="J809" s="218"/>
      <c r="K809" s="218"/>
      <c r="L809" s="218"/>
      <c r="M809" s="218"/>
      <c r="N809" s="218"/>
      <c r="O809" s="218"/>
      <c r="P809" s="218"/>
      <c r="Q809" s="218"/>
    </row>
    <row r="810">
      <c r="A810" s="218"/>
      <c r="B810" s="218"/>
      <c r="C810" s="218"/>
      <c r="D810" s="218"/>
      <c r="E810" s="218"/>
      <c r="F810" s="218"/>
      <c r="G810" s="218"/>
      <c r="H810" s="218"/>
      <c r="I810" s="218"/>
      <c r="J810" s="218"/>
      <c r="K810" s="218"/>
      <c r="L810" s="218"/>
      <c r="M810" s="218"/>
      <c r="N810" s="218"/>
      <c r="O810" s="218"/>
      <c r="P810" s="218"/>
      <c r="Q810" s="218"/>
    </row>
    <row r="811">
      <c r="A811" s="218"/>
      <c r="B811" s="218"/>
      <c r="C811" s="218"/>
      <c r="D811" s="218"/>
      <c r="E811" s="218"/>
      <c r="F811" s="218"/>
      <c r="G811" s="218"/>
      <c r="H811" s="218"/>
      <c r="I811" s="218"/>
      <c r="J811" s="218"/>
      <c r="K811" s="218"/>
      <c r="L811" s="218"/>
      <c r="M811" s="218"/>
      <c r="N811" s="218"/>
      <c r="O811" s="218"/>
      <c r="P811" s="218"/>
      <c r="Q811" s="218"/>
    </row>
    <row r="812">
      <c r="A812" s="218"/>
      <c r="B812" s="218"/>
      <c r="C812" s="218"/>
      <c r="D812" s="218"/>
      <c r="E812" s="218"/>
      <c r="F812" s="218"/>
      <c r="G812" s="218"/>
      <c r="H812" s="218"/>
      <c r="I812" s="218"/>
      <c r="J812" s="218"/>
      <c r="K812" s="218"/>
      <c r="L812" s="218"/>
      <c r="M812" s="218"/>
      <c r="N812" s="218"/>
      <c r="O812" s="218"/>
      <c r="P812" s="218"/>
      <c r="Q812" s="218"/>
    </row>
    <row r="813">
      <c r="A813" s="218"/>
      <c r="B813" s="218"/>
      <c r="C813" s="218"/>
      <c r="D813" s="218"/>
      <c r="E813" s="218"/>
      <c r="F813" s="218"/>
      <c r="G813" s="218"/>
      <c r="H813" s="218"/>
      <c r="I813" s="218"/>
      <c r="J813" s="218"/>
      <c r="K813" s="218"/>
      <c r="L813" s="218"/>
      <c r="M813" s="218"/>
      <c r="N813" s="218"/>
      <c r="O813" s="218"/>
      <c r="P813" s="218"/>
      <c r="Q813" s="218"/>
    </row>
    <row r="814">
      <c r="A814" s="218"/>
      <c r="B814" s="218"/>
      <c r="C814" s="218"/>
      <c r="D814" s="218"/>
      <c r="E814" s="218"/>
      <c r="F814" s="218"/>
      <c r="G814" s="218"/>
      <c r="H814" s="218"/>
      <c r="I814" s="218"/>
      <c r="J814" s="218"/>
      <c r="K814" s="218"/>
      <c r="L814" s="218"/>
      <c r="M814" s="218"/>
      <c r="N814" s="218"/>
      <c r="O814" s="218"/>
      <c r="P814" s="218"/>
      <c r="Q814" s="218"/>
    </row>
    <row r="815">
      <c r="A815" s="218"/>
      <c r="B815" s="218"/>
      <c r="C815" s="218"/>
      <c r="D815" s="218"/>
      <c r="E815" s="218"/>
      <c r="F815" s="218"/>
      <c r="G815" s="218"/>
      <c r="H815" s="218"/>
      <c r="I815" s="218"/>
      <c r="J815" s="218"/>
      <c r="K815" s="218"/>
      <c r="L815" s="218"/>
      <c r="M815" s="218"/>
      <c r="N815" s="218"/>
      <c r="O815" s="218"/>
      <c r="P815" s="218"/>
      <c r="Q815" s="218"/>
    </row>
    <row r="816">
      <c r="A816" s="218"/>
      <c r="B816" s="218"/>
      <c r="C816" s="218"/>
      <c r="D816" s="218"/>
      <c r="E816" s="218"/>
      <c r="F816" s="218"/>
      <c r="G816" s="218"/>
      <c r="H816" s="218"/>
      <c r="I816" s="218"/>
      <c r="J816" s="218"/>
      <c r="K816" s="218"/>
      <c r="L816" s="218"/>
      <c r="M816" s="218"/>
      <c r="N816" s="218"/>
      <c r="O816" s="218"/>
      <c r="P816" s="218"/>
      <c r="Q816" s="218"/>
    </row>
    <row r="817">
      <c r="A817" s="218"/>
      <c r="B817" s="218"/>
      <c r="C817" s="218"/>
      <c r="D817" s="218"/>
      <c r="E817" s="218"/>
      <c r="F817" s="218"/>
      <c r="G817" s="218"/>
      <c r="H817" s="218"/>
      <c r="I817" s="218"/>
      <c r="J817" s="218"/>
      <c r="K817" s="218"/>
      <c r="L817" s="218"/>
      <c r="M817" s="218"/>
      <c r="N817" s="218"/>
      <c r="O817" s="218"/>
      <c r="P817" s="218"/>
      <c r="Q817" s="218"/>
    </row>
    <row r="818">
      <c r="A818" s="218"/>
      <c r="B818" s="218"/>
      <c r="C818" s="218"/>
      <c r="D818" s="218"/>
      <c r="E818" s="218"/>
      <c r="F818" s="218"/>
      <c r="G818" s="218"/>
      <c r="H818" s="218"/>
      <c r="I818" s="218"/>
      <c r="J818" s="218"/>
      <c r="K818" s="218"/>
      <c r="L818" s="218"/>
      <c r="M818" s="218"/>
      <c r="N818" s="218"/>
      <c r="O818" s="218"/>
      <c r="P818" s="218"/>
      <c r="Q818" s="218"/>
    </row>
    <row r="819">
      <c r="A819" s="218"/>
      <c r="B819" s="218"/>
      <c r="C819" s="218"/>
      <c r="D819" s="218"/>
      <c r="E819" s="218"/>
      <c r="F819" s="218"/>
      <c r="G819" s="218"/>
      <c r="H819" s="218"/>
      <c r="I819" s="218"/>
      <c r="J819" s="218"/>
      <c r="K819" s="218"/>
      <c r="L819" s="218"/>
      <c r="M819" s="218"/>
      <c r="N819" s="218"/>
      <c r="O819" s="218"/>
      <c r="P819" s="218"/>
      <c r="Q819" s="218"/>
    </row>
    <row r="820">
      <c r="A820" s="218"/>
      <c r="B820" s="218"/>
      <c r="C820" s="218"/>
      <c r="D820" s="218"/>
      <c r="E820" s="218"/>
      <c r="F820" s="218"/>
      <c r="G820" s="218"/>
      <c r="H820" s="218"/>
      <c r="I820" s="218"/>
      <c r="J820" s="218"/>
      <c r="K820" s="218"/>
      <c r="L820" s="218"/>
      <c r="M820" s="218"/>
      <c r="N820" s="218"/>
      <c r="O820" s="218"/>
      <c r="P820" s="218"/>
      <c r="Q820" s="218"/>
    </row>
    <row r="821">
      <c r="A821" s="218"/>
      <c r="B821" s="218"/>
      <c r="C821" s="218"/>
      <c r="D821" s="218"/>
      <c r="E821" s="218"/>
      <c r="F821" s="218"/>
      <c r="G821" s="218"/>
      <c r="H821" s="218"/>
      <c r="I821" s="218"/>
      <c r="J821" s="218"/>
      <c r="K821" s="218"/>
      <c r="L821" s="218"/>
      <c r="M821" s="218"/>
      <c r="N821" s="218"/>
      <c r="O821" s="218"/>
      <c r="P821" s="218"/>
      <c r="Q821" s="218"/>
    </row>
    <row r="822">
      <c r="A822" s="218"/>
      <c r="B822" s="218"/>
      <c r="C822" s="218"/>
      <c r="D822" s="218"/>
      <c r="E822" s="218"/>
      <c r="F822" s="218"/>
      <c r="G822" s="218"/>
      <c r="H822" s="218"/>
      <c r="I822" s="218"/>
      <c r="J822" s="218"/>
      <c r="K822" s="218"/>
      <c r="L822" s="218"/>
      <c r="M822" s="218"/>
      <c r="N822" s="218"/>
      <c r="O822" s="218"/>
      <c r="P822" s="218"/>
      <c r="Q822" s="218"/>
    </row>
    <row r="823">
      <c r="A823" s="218"/>
      <c r="B823" s="218"/>
      <c r="C823" s="218"/>
      <c r="D823" s="218"/>
      <c r="E823" s="218"/>
      <c r="F823" s="218"/>
      <c r="G823" s="218"/>
      <c r="H823" s="218"/>
      <c r="I823" s="218"/>
      <c r="J823" s="218"/>
      <c r="K823" s="218"/>
      <c r="L823" s="218"/>
      <c r="M823" s="218"/>
      <c r="N823" s="218"/>
      <c r="O823" s="218"/>
      <c r="P823" s="218"/>
      <c r="Q823" s="218"/>
    </row>
    <row r="824">
      <c r="A824" s="218"/>
      <c r="B824" s="218"/>
      <c r="C824" s="218"/>
      <c r="D824" s="218"/>
      <c r="E824" s="218"/>
      <c r="F824" s="218"/>
      <c r="G824" s="218"/>
      <c r="H824" s="218"/>
      <c r="I824" s="218"/>
      <c r="J824" s="218"/>
      <c r="K824" s="218"/>
      <c r="L824" s="218"/>
      <c r="M824" s="218"/>
      <c r="N824" s="218"/>
      <c r="O824" s="218"/>
      <c r="P824" s="218"/>
      <c r="Q824" s="218"/>
    </row>
    <row r="825">
      <c r="A825" s="218"/>
      <c r="B825" s="218"/>
      <c r="C825" s="218"/>
      <c r="D825" s="218"/>
      <c r="E825" s="218"/>
      <c r="F825" s="218"/>
      <c r="G825" s="218"/>
      <c r="H825" s="218"/>
      <c r="I825" s="218"/>
      <c r="J825" s="218"/>
      <c r="K825" s="218"/>
      <c r="L825" s="218"/>
      <c r="M825" s="218"/>
      <c r="N825" s="218"/>
      <c r="O825" s="218"/>
      <c r="P825" s="218"/>
      <c r="Q825" s="218"/>
    </row>
    <row r="826">
      <c r="A826" s="218"/>
      <c r="B826" s="218"/>
      <c r="C826" s="218"/>
      <c r="D826" s="218"/>
      <c r="E826" s="218"/>
      <c r="F826" s="218"/>
      <c r="G826" s="218"/>
      <c r="H826" s="218"/>
      <c r="I826" s="218"/>
      <c r="J826" s="218"/>
      <c r="K826" s="218"/>
      <c r="L826" s="218"/>
      <c r="M826" s="218"/>
      <c r="N826" s="218"/>
      <c r="O826" s="218"/>
      <c r="P826" s="218"/>
      <c r="Q826" s="218"/>
    </row>
    <row r="827">
      <c r="A827" s="218"/>
      <c r="B827" s="218"/>
      <c r="C827" s="218"/>
      <c r="D827" s="218"/>
      <c r="E827" s="218"/>
      <c r="F827" s="218"/>
      <c r="G827" s="218"/>
      <c r="H827" s="218"/>
      <c r="I827" s="218"/>
      <c r="J827" s="218"/>
      <c r="K827" s="218"/>
      <c r="L827" s="218"/>
      <c r="M827" s="218"/>
      <c r="N827" s="218"/>
      <c r="O827" s="218"/>
      <c r="P827" s="218"/>
      <c r="Q827" s="218"/>
    </row>
    <row r="828">
      <c r="A828" s="218"/>
      <c r="B828" s="218"/>
      <c r="C828" s="218"/>
      <c r="D828" s="218"/>
      <c r="E828" s="218"/>
      <c r="F828" s="218"/>
      <c r="G828" s="218"/>
      <c r="H828" s="218"/>
      <c r="I828" s="218"/>
      <c r="J828" s="218"/>
      <c r="K828" s="218"/>
      <c r="L828" s="218"/>
      <c r="M828" s="218"/>
      <c r="N828" s="218"/>
      <c r="O828" s="218"/>
      <c r="P828" s="218"/>
      <c r="Q828" s="218"/>
    </row>
    <row r="829">
      <c r="A829" s="218"/>
      <c r="B829" s="218"/>
      <c r="C829" s="218"/>
      <c r="D829" s="218"/>
      <c r="E829" s="218"/>
      <c r="F829" s="218"/>
      <c r="G829" s="218"/>
      <c r="H829" s="218"/>
      <c r="I829" s="218"/>
      <c r="J829" s="218"/>
      <c r="K829" s="218"/>
      <c r="L829" s="218"/>
      <c r="M829" s="218"/>
      <c r="N829" s="218"/>
      <c r="O829" s="218"/>
      <c r="P829" s="218"/>
      <c r="Q829" s="218"/>
    </row>
    <row r="830">
      <c r="A830" s="218"/>
      <c r="B830" s="218"/>
      <c r="C830" s="218"/>
      <c r="D830" s="218"/>
      <c r="E830" s="218"/>
      <c r="F830" s="218"/>
      <c r="G830" s="218"/>
      <c r="H830" s="218"/>
      <c r="I830" s="218"/>
      <c r="J830" s="218"/>
      <c r="K830" s="218"/>
      <c r="L830" s="218"/>
      <c r="M830" s="218"/>
      <c r="N830" s="218"/>
      <c r="O830" s="218"/>
      <c r="P830" s="218"/>
      <c r="Q830" s="218"/>
    </row>
    <row r="831">
      <c r="A831" s="218"/>
      <c r="B831" s="218"/>
      <c r="C831" s="218"/>
      <c r="D831" s="218"/>
      <c r="E831" s="218"/>
      <c r="F831" s="218"/>
      <c r="G831" s="218"/>
      <c r="H831" s="218"/>
      <c r="I831" s="218"/>
      <c r="J831" s="218"/>
      <c r="K831" s="218"/>
      <c r="L831" s="218"/>
      <c r="M831" s="218"/>
      <c r="N831" s="218"/>
      <c r="O831" s="218"/>
      <c r="P831" s="218"/>
      <c r="Q831" s="218"/>
    </row>
    <row r="832">
      <c r="A832" s="218"/>
      <c r="B832" s="218"/>
      <c r="C832" s="218"/>
      <c r="D832" s="218"/>
      <c r="E832" s="218"/>
      <c r="F832" s="218"/>
      <c r="G832" s="218"/>
      <c r="H832" s="218"/>
      <c r="I832" s="218"/>
      <c r="J832" s="218"/>
      <c r="K832" s="218"/>
      <c r="L832" s="218"/>
      <c r="M832" s="218"/>
      <c r="N832" s="218"/>
      <c r="O832" s="218"/>
      <c r="P832" s="218"/>
      <c r="Q832" s="218"/>
    </row>
    <row r="833">
      <c r="A833" s="218"/>
      <c r="B833" s="218"/>
      <c r="C833" s="218"/>
      <c r="D833" s="218"/>
      <c r="E833" s="218"/>
      <c r="F833" s="218"/>
      <c r="G833" s="218"/>
      <c r="H833" s="218"/>
      <c r="I833" s="218"/>
      <c r="J833" s="218"/>
      <c r="K833" s="218"/>
      <c r="L833" s="218"/>
      <c r="M833" s="218"/>
      <c r="N833" s="218"/>
      <c r="O833" s="218"/>
      <c r="P833" s="218"/>
      <c r="Q833" s="218"/>
    </row>
    <row r="834">
      <c r="A834" s="218"/>
      <c r="B834" s="218"/>
      <c r="C834" s="218"/>
      <c r="D834" s="218"/>
      <c r="E834" s="218"/>
      <c r="F834" s="218"/>
      <c r="G834" s="218"/>
      <c r="H834" s="218"/>
      <c r="I834" s="218"/>
      <c r="J834" s="218"/>
      <c r="K834" s="218"/>
      <c r="L834" s="218"/>
      <c r="M834" s="218"/>
      <c r="N834" s="218"/>
      <c r="O834" s="218"/>
      <c r="P834" s="218"/>
      <c r="Q834" s="218"/>
    </row>
    <row r="835">
      <c r="A835" s="218"/>
      <c r="B835" s="218"/>
      <c r="C835" s="218"/>
      <c r="D835" s="218"/>
      <c r="E835" s="218"/>
      <c r="F835" s="218"/>
      <c r="G835" s="218"/>
      <c r="H835" s="218"/>
      <c r="I835" s="218"/>
      <c r="J835" s="218"/>
      <c r="K835" s="218"/>
      <c r="L835" s="218"/>
      <c r="M835" s="218"/>
      <c r="N835" s="218"/>
      <c r="O835" s="218"/>
      <c r="P835" s="218"/>
      <c r="Q835" s="218"/>
    </row>
    <row r="836">
      <c r="A836" s="218"/>
      <c r="B836" s="218"/>
      <c r="C836" s="218"/>
      <c r="D836" s="218"/>
      <c r="E836" s="218"/>
      <c r="F836" s="218"/>
      <c r="G836" s="218"/>
      <c r="H836" s="218"/>
      <c r="I836" s="218"/>
      <c r="J836" s="218"/>
      <c r="K836" s="218"/>
      <c r="L836" s="218"/>
      <c r="M836" s="218"/>
      <c r="N836" s="218"/>
      <c r="O836" s="218"/>
      <c r="P836" s="218"/>
      <c r="Q836" s="218"/>
    </row>
    <row r="837">
      <c r="A837" s="218"/>
      <c r="B837" s="218"/>
      <c r="C837" s="218"/>
      <c r="D837" s="218"/>
      <c r="E837" s="218"/>
      <c r="F837" s="218"/>
      <c r="G837" s="218"/>
      <c r="H837" s="218"/>
      <c r="I837" s="218"/>
      <c r="J837" s="218"/>
      <c r="K837" s="218"/>
      <c r="L837" s="218"/>
      <c r="M837" s="218"/>
      <c r="N837" s="218"/>
      <c r="O837" s="218"/>
      <c r="P837" s="218"/>
      <c r="Q837" s="218"/>
    </row>
    <row r="838">
      <c r="A838" s="218"/>
      <c r="B838" s="218"/>
      <c r="C838" s="218"/>
      <c r="D838" s="218"/>
      <c r="E838" s="218"/>
      <c r="F838" s="218"/>
      <c r="G838" s="218"/>
      <c r="H838" s="218"/>
      <c r="I838" s="218"/>
      <c r="J838" s="218"/>
      <c r="K838" s="218"/>
      <c r="L838" s="218"/>
      <c r="M838" s="218"/>
      <c r="N838" s="218"/>
      <c r="O838" s="218"/>
      <c r="P838" s="218"/>
      <c r="Q838" s="218"/>
    </row>
    <row r="839">
      <c r="A839" s="218"/>
      <c r="B839" s="218"/>
      <c r="C839" s="218"/>
      <c r="D839" s="218"/>
      <c r="E839" s="218"/>
      <c r="F839" s="218"/>
      <c r="G839" s="218"/>
      <c r="H839" s="218"/>
      <c r="I839" s="218"/>
      <c r="J839" s="218"/>
      <c r="K839" s="218"/>
      <c r="L839" s="218"/>
      <c r="M839" s="218"/>
      <c r="N839" s="218"/>
      <c r="O839" s="218"/>
      <c r="P839" s="218"/>
      <c r="Q839" s="218"/>
    </row>
    <row r="840">
      <c r="A840" s="218"/>
      <c r="B840" s="218"/>
      <c r="C840" s="218"/>
      <c r="D840" s="218"/>
      <c r="E840" s="218"/>
      <c r="F840" s="218"/>
      <c r="G840" s="218"/>
      <c r="H840" s="218"/>
      <c r="I840" s="218"/>
      <c r="J840" s="218"/>
      <c r="K840" s="218"/>
      <c r="L840" s="218"/>
      <c r="M840" s="218"/>
      <c r="N840" s="218"/>
      <c r="O840" s="218"/>
      <c r="P840" s="218"/>
      <c r="Q840" s="218"/>
    </row>
    <row r="841">
      <c r="A841" s="218"/>
      <c r="B841" s="218"/>
      <c r="C841" s="218"/>
      <c r="D841" s="218"/>
      <c r="E841" s="218"/>
      <c r="F841" s="218"/>
      <c r="G841" s="218"/>
      <c r="H841" s="218"/>
      <c r="I841" s="218"/>
      <c r="J841" s="218"/>
      <c r="K841" s="218"/>
      <c r="L841" s="218"/>
      <c r="M841" s="218"/>
      <c r="N841" s="218"/>
      <c r="O841" s="218"/>
      <c r="P841" s="218"/>
      <c r="Q841" s="218"/>
    </row>
    <row r="842">
      <c r="A842" s="218"/>
      <c r="B842" s="218"/>
      <c r="C842" s="218"/>
      <c r="D842" s="218"/>
      <c r="E842" s="218"/>
      <c r="F842" s="218"/>
      <c r="G842" s="218"/>
      <c r="H842" s="218"/>
      <c r="I842" s="218"/>
      <c r="J842" s="218"/>
      <c r="K842" s="218"/>
      <c r="L842" s="218"/>
      <c r="M842" s="218"/>
      <c r="N842" s="218"/>
      <c r="O842" s="218"/>
      <c r="P842" s="218"/>
      <c r="Q842" s="218"/>
    </row>
    <row r="843">
      <c r="A843" s="218"/>
      <c r="B843" s="218"/>
      <c r="C843" s="218"/>
      <c r="D843" s="218"/>
      <c r="E843" s="218"/>
      <c r="F843" s="218"/>
      <c r="G843" s="218"/>
      <c r="H843" s="218"/>
      <c r="I843" s="218"/>
      <c r="J843" s="218"/>
      <c r="K843" s="218"/>
      <c r="L843" s="218"/>
      <c r="M843" s="218"/>
      <c r="N843" s="218"/>
      <c r="O843" s="218"/>
      <c r="P843" s="218"/>
      <c r="Q843" s="218"/>
    </row>
    <row r="844">
      <c r="A844" s="218"/>
      <c r="B844" s="218"/>
      <c r="C844" s="218"/>
      <c r="D844" s="218"/>
      <c r="E844" s="218"/>
      <c r="F844" s="218"/>
      <c r="G844" s="218"/>
      <c r="H844" s="218"/>
      <c r="I844" s="218"/>
      <c r="J844" s="218"/>
      <c r="K844" s="218"/>
      <c r="L844" s="218"/>
      <c r="M844" s="218"/>
      <c r="N844" s="218"/>
      <c r="O844" s="218"/>
      <c r="P844" s="218"/>
      <c r="Q844" s="218"/>
    </row>
    <row r="845">
      <c r="A845" s="218"/>
      <c r="B845" s="218"/>
      <c r="C845" s="218"/>
      <c r="D845" s="218"/>
      <c r="E845" s="218"/>
      <c r="F845" s="218"/>
      <c r="G845" s="218"/>
      <c r="H845" s="218"/>
      <c r="I845" s="218"/>
      <c r="J845" s="218"/>
      <c r="K845" s="218"/>
      <c r="L845" s="218"/>
      <c r="M845" s="218"/>
      <c r="N845" s="218"/>
      <c r="O845" s="218"/>
      <c r="P845" s="218"/>
      <c r="Q845" s="218"/>
    </row>
    <row r="846">
      <c r="A846" s="218"/>
      <c r="B846" s="218"/>
      <c r="C846" s="218"/>
      <c r="D846" s="218"/>
      <c r="E846" s="218"/>
      <c r="F846" s="218"/>
      <c r="G846" s="218"/>
      <c r="H846" s="218"/>
      <c r="I846" s="218"/>
      <c r="J846" s="218"/>
      <c r="K846" s="218"/>
      <c r="L846" s="218"/>
      <c r="M846" s="218"/>
      <c r="N846" s="218"/>
      <c r="O846" s="218"/>
      <c r="P846" s="218"/>
      <c r="Q846" s="218"/>
    </row>
    <row r="847">
      <c r="A847" s="218"/>
      <c r="B847" s="218"/>
      <c r="C847" s="218"/>
      <c r="D847" s="218"/>
      <c r="E847" s="218"/>
      <c r="F847" s="218"/>
      <c r="G847" s="218"/>
      <c r="H847" s="218"/>
      <c r="I847" s="218"/>
      <c r="J847" s="218"/>
      <c r="K847" s="218"/>
      <c r="L847" s="218"/>
      <c r="M847" s="218"/>
      <c r="N847" s="218"/>
      <c r="O847" s="218"/>
      <c r="P847" s="218"/>
      <c r="Q847" s="218"/>
    </row>
    <row r="848">
      <c r="A848" s="218"/>
      <c r="B848" s="218"/>
      <c r="C848" s="218"/>
      <c r="D848" s="218"/>
      <c r="E848" s="218"/>
      <c r="F848" s="218"/>
      <c r="G848" s="218"/>
      <c r="H848" s="218"/>
      <c r="I848" s="218"/>
      <c r="J848" s="218"/>
      <c r="K848" s="218"/>
      <c r="L848" s="218"/>
      <c r="M848" s="218"/>
      <c r="N848" s="218"/>
      <c r="O848" s="218"/>
      <c r="P848" s="218"/>
      <c r="Q848" s="218"/>
    </row>
    <row r="849">
      <c r="A849" s="218"/>
      <c r="B849" s="218"/>
      <c r="C849" s="218"/>
      <c r="D849" s="218"/>
      <c r="E849" s="218"/>
      <c r="F849" s="218"/>
      <c r="G849" s="218"/>
      <c r="H849" s="218"/>
      <c r="I849" s="218"/>
      <c r="J849" s="218"/>
      <c r="K849" s="218"/>
      <c r="L849" s="218"/>
      <c r="M849" s="218"/>
      <c r="N849" s="218"/>
      <c r="O849" s="218"/>
      <c r="P849" s="218"/>
      <c r="Q849" s="218"/>
    </row>
    <row r="850">
      <c r="A850" s="218"/>
      <c r="B850" s="218"/>
      <c r="C850" s="218"/>
      <c r="D850" s="218"/>
      <c r="E850" s="218"/>
      <c r="F850" s="218"/>
      <c r="G850" s="218"/>
      <c r="H850" s="218"/>
      <c r="I850" s="218"/>
      <c r="J850" s="218"/>
      <c r="K850" s="218"/>
      <c r="L850" s="218"/>
      <c r="M850" s="218"/>
      <c r="N850" s="218"/>
      <c r="O850" s="218"/>
      <c r="P850" s="218"/>
      <c r="Q850" s="218"/>
    </row>
    <row r="851">
      <c r="A851" s="218"/>
      <c r="B851" s="218"/>
      <c r="C851" s="218"/>
      <c r="D851" s="218"/>
      <c r="E851" s="218"/>
      <c r="F851" s="218"/>
      <c r="G851" s="218"/>
      <c r="H851" s="218"/>
      <c r="I851" s="218"/>
      <c r="J851" s="218"/>
      <c r="K851" s="218"/>
      <c r="L851" s="218"/>
      <c r="M851" s="218"/>
      <c r="N851" s="218"/>
      <c r="O851" s="218"/>
      <c r="P851" s="218"/>
      <c r="Q851" s="218"/>
    </row>
    <row r="852">
      <c r="A852" s="218"/>
      <c r="B852" s="218"/>
      <c r="C852" s="218"/>
      <c r="D852" s="218"/>
      <c r="E852" s="218"/>
      <c r="F852" s="218"/>
      <c r="G852" s="218"/>
      <c r="H852" s="218"/>
      <c r="I852" s="218"/>
      <c r="J852" s="218"/>
      <c r="K852" s="218"/>
      <c r="L852" s="218"/>
      <c r="M852" s="218"/>
      <c r="N852" s="218"/>
      <c r="O852" s="218"/>
      <c r="P852" s="218"/>
      <c r="Q852" s="218"/>
    </row>
    <row r="853">
      <c r="A853" s="218"/>
      <c r="B853" s="218"/>
      <c r="C853" s="218"/>
      <c r="D853" s="218"/>
      <c r="E853" s="218"/>
      <c r="F853" s="218"/>
      <c r="G853" s="218"/>
      <c r="H853" s="218"/>
      <c r="I853" s="218"/>
      <c r="J853" s="218"/>
      <c r="K853" s="218"/>
      <c r="L853" s="218"/>
      <c r="M853" s="218"/>
      <c r="N853" s="218"/>
      <c r="O853" s="218"/>
      <c r="P853" s="218"/>
      <c r="Q853" s="218"/>
    </row>
    <row r="854">
      <c r="A854" s="218"/>
      <c r="B854" s="218"/>
      <c r="C854" s="218"/>
      <c r="D854" s="218"/>
      <c r="E854" s="218"/>
      <c r="F854" s="218"/>
      <c r="G854" s="218"/>
      <c r="H854" s="218"/>
      <c r="I854" s="218"/>
      <c r="J854" s="218"/>
      <c r="K854" s="218"/>
      <c r="L854" s="218"/>
      <c r="M854" s="218"/>
      <c r="N854" s="218"/>
      <c r="O854" s="218"/>
      <c r="P854" s="218"/>
      <c r="Q854" s="218"/>
    </row>
    <row r="855">
      <c r="A855" s="218"/>
      <c r="B855" s="218"/>
      <c r="C855" s="218"/>
      <c r="D855" s="218"/>
      <c r="E855" s="218"/>
      <c r="F855" s="218"/>
      <c r="G855" s="218"/>
      <c r="H855" s="218"/>
      <c r="I855" s="218"/>
      <c r="J855" s="218"/>
      <c r="K855" s="218"/>
      <c r="L855" s="218"/>
      <c r="M855" s="218"/>
      <c r="N855" s="218"/>
      <c r="O855" s="218"/>
      <c r="P855" s="218"/>
      <c r="Q855" s="218"/>
    </row>
    <row r="856">
      <c r="A856" s="218"/>
      <c r="B856" s="218"/>
      <c r="C856" s="218"/>
      <c r="D856" s="218"/>
      <c r="E856" s="218"/>
      <c r="F856" s="218"/>
      <c r="G856" s="218"/>
      <c r="H856" s="218"/>
      <c r="I856" s="218"/>
      <c r="J856" s="218"/>
      <c r="K856" s="218"/>
      <c r="L856" s="218"/>
      <c r="M856" s="218"/>
      <c r="N856" s="218"/>
      <c r="O856" s="218"/>
      <c r="P856" s="218"/>
      <c r="Q856" s="218"/>
    </row>
    <row r="857">
      <c r="A857" s="218"/>
      <c r="B857" s="218"/>
      <c r="C857" s="218"/>
      <c r="D857" s="218"/>
      <c r="E857" s="218"/>
      <c r="F857" s="218"/>
      <c r="G857" s="218"/>
      <c r="H857" s="218"/>
      <c r="I857" s="218"/>
      <c r="J857" s="218"/>
      <c r="K857" s="218"/>
      <c r="L857" s="218"/>
      <c r="M857" s="218"/>
      <c r="N857" s="218"/>
      <c r="O857" s="218"/>
      <c r="P857" s="218"/>
      <c r="Q857" s="218"/>
    </row>
    <row r="858">
      <c r="A858" s="218"/>
      <c r="B858" s="218"/>
      <c r="C858" s="218"/>
      <c r="D858" s="218"/>
      <c r="E858" s="218"/>
      <c r="F858" s="218"/>
      <c r="G858" s="218"/>
      <c r="H858" s="218"/>
      <c r="I858" s="218"/>
      <c r="J858" s="218"/>
      <c r="K858" s="218"/>
      <c r="L858" s="218"/>
      <c r="M858" s="218"/>
      <c r="N858" s="218"/>
      <c r="O858" s="218"/>
      <c r="P858" s="218"/>
      <c r="Q858" s="218"/>
    </row>
    <row r="859">
      <c r="A859" s="218"/>
      <c r="B859" s="218"/>
      <c r="C859" s="218"/>
      <c r="D859" s="218"/>
      <c r="E859" s="218"/>
      <c r="F859" s="218"/>
      <c r="G859" s="218"/>
      <c r="H859" s="218"/>
      <c r="I859" s="218"/>
      <c r="J859" s="218"/>
      <c r="K859" s="218"/>
      <c r="L859" s="218"/>
      <c r="M859" s="218"/>
      <c r="N859" s="218"/>
      <c r="O859" s="218"/>
      <c r="P859" s="218"/>
      <c r="Q859" s="218"/>
    </row>
    <row r="860">
      <c r="A860" s="218"/>
      <c r="B860" s="218"/>
      <c r="C860" s="218"/>
      <c r="D860" s="218"/>
      <c r="E860" s="218"/>
      <c r="F860" s="218"/>
      <c r="G860" s="218"/>
      <c r="H860" s="218"/>
      <c r="I860" s="218"/>
      <c r="J860" s="218"/>
      <c r="K860" s="218"/>
      <c r="L860" s="218"/>
      <c r="M860" s="218"/>
      <c r="N860" s="218"/>
      <c r="O860" s="218"/>
      <c r="P860" s="218"/>
      <c r="Q860" s="218"/>
    </row>
    <row r="861">
      <c r="A861" s="218"/>
      <c r="B861" s="218"/>
      <c r="C861" s="218"/>
      <c r="D861" s="218"/>
      <c r="E861" s="218"/>
      <c r="F861" s="218"/>
      <c r="G861" s="218"/>
      <c r="H861" s="218"/>
      <c r="I861" s="218"/>
      <c r="J861" s="218"/>
      <c r="K861" s="218"/>
      <c r="L861" s="218"/>
      <c r="M861" s="218"/>
      <c r="N861" s="218"/>
      <c r="O861" s="218"/>
      <c r="P861" s="218"/>
      <c r="Q861" s="218"/>
    </row>
    <row r="862">
      <c r="A862" s="218"/>
      <c r="B862" s="218"/>
      <c r="C862" s="218"/>
      <c r="D862" s="218"/>
      <c r="E862" s="218"/>
      <c r="F862" s="218"/>
      <c r="G862" s="218"/>
      <c r="H862" s="218"/>
      <c r="I862" s="218"/>
      <c r="J862" s="218"/>
      <c r="K862" s="218"/>
      <c r="L862" s="218"/>
      <c r="M862" s="218"/>
      <c r="N862" s="218"/>
      <c r="O862" s="218"/>
      <c r="P862" s="218"/>
      <c r="Q862" s="218"/>
    </row>
    <row r="863">
      <c r="A863" s="218"/>
      <c r="B863" s="218"/>
      <c r="C863" s="218"/>
      <c r="D863" s="218"/>
      <c r="E863" s="218"/>
      <c r="F863" s="218"/>
      <c r="G863" s="218"/>
      <c r="H863" s="218"/>
      <c r="I863" s="218"/>
      <c r="J863" s="218"/>
      <c r="K863" s="218"/>
      <c r="L863" s="218"/>
      <c r="M863" s="218"/>
      <c r="N863" s="218"/>
      <c r="O863" s="218"/>
      <c r="P863" s="218"/>
      <c r="Q863" s="218"/>
    </row>
    <row r="864">
      <c r="A864" s="218"/>
      <c r="B864" s="218"/>
      <c r="C864" s="218"/>
      <c r="D864" s="218"/>
      <c r="E864" s="218"/>
      <c r="F864" s="218"/>
      <c r="G864" s="218"/>
      <c r="H864" s="218"/>
      <c r="I864" s="218"/>
      <c r="J864" s="218"/>
      <c r="K864" s="218"/>
      <c r="L864" s="218"/>
      <c r="M864" s="218"/>
      <c r="N864" s="218"/>
      <c r="O864" s="218"/>
      <c r="P864" s="218"/>
      <c r="Q864" s="218"/>
    </row>
    <row r="865">
      <c r="A865" s="218"/>
      <c r="B865" s="218"/>
      <c r="C865" s="218"/>
      <c r="D865" s="218"/>
      <c r="E865" s="218"/>
      <c r="F865" s="218"/>
      <c r="G865" s="218"/>
      <c r="H865" s="218"/>
      <c r="I865" s="218"/>
      <c r="J865" s="218"/>
      <c r="K865" s="218"/>
      <c r="L865" s="218"/>
      <c r="M865" s="218"/>
      <c r="N865" s="218"/>
      <c r="O865" s="218"/>
      <c r="P865" s="218"/>
      <c r="Q865" s="218"/>
    </row>
    <row r="866">
      <c r="A866" s="218"/>
      <c r="B866" s="218"/>
      <c r="C866" s="218"/>
      <c r="D866" s="218"/>
      <c r="E866" s="218"/>
      <c r="F866" s="218"/>
      <c r="G866" s="218"/>
      <c r="H866" s="218"/>
      <c r="I866" s="218"/>
      <c r="J866" s="218"/>
      <c r="K866" s="218"/>
      <c r="L866" s="218"/>
      <c r="M866" s="218"/>
      <c r="N866" s="218"/>
      <c r="O866" s="218"/>
      <c r="P866" s="218"/>
      <c r="Q866" s="218"/>
    </row>
    <row r="867">
      <c r="A867" s="218"/>
      <c r="B867" s="218"/>
      <c r="C867" s="218"/>
      <c r="D867" s="218"/>
      <c r="E867" s="218"/>
      <c r="F867" s="218"/>
      <c r="G867" s="218"/>
      <c r="H867" s="218"/>
      <c r="I867" s="218"/>
      <c r="J867" s="218"/>
      <c r="K867" s="218"/>
      <c r="L867" s="218"/>
      <c r="M867" s="218"/>
      <c r="N867" s="218"/>
      <c r="O867" s="218"/>
      <c r="P867" s="218"/>
      <c r="Q867" s="218"/>
    </row>
    <row r="868">
      <c r="A868" s="218"/>
      <c r="B868" s="218"/>
      <c r="C868" s="218"/>
      <c r="D868" s="218"/>
      <c r="E868" s="218"/>
      <c r="F868" s="218"/>
      <c r="G868" s="218"/>
      <c r="H868" s="218"/>
      <c r="I868" s="218"/>
      <c r="J868" s="218"/>
      <c r="K868" s="218"/>
      <c r="L868" s="218"/>
      <c r="M868" s="218"/>
      <c r="N868" s="218"/>
      <c r="O868" s="218"/>
      <c r="P868" s="218"/>
      <c r="Q868" s="218"/>
    </row>
    <row r="869">
      <c r="A869" s="218"/>
      <c r="B869" s="218"/>
      <c r="C869" s="218"/>
      <c r="D869" s="218"/>
      <c r="E869" s="218"/>
      <c r="F869" s="218"/>
      <c r="G869" s="218"/>
      <c r="H869" s="218"/>
      <c r="I869" s="218"/>
      <c r="J869" s="218"/>
      <c r="K869" s="218"/>
      <c r="L869" s="218"/>
      <c r="M869" s="218"/>
      <c r="N869" s="218"/>
      <c r="O869" s="218"/>
      <c r="P869" s="218"/>
      <c r="Q869" s="218"/>
    </row>
    <row r="870">
      <c r="A870" s="218"/>
      <c r="B870" s="218"/>
      <c r="C870" s="218"/>
      <c r="D870" s="218"/>
      <c r="E870" s="218"/>
      <c r="F870" s="218"/>
      <c r="G870" s="218"/>
      <c r="H870" s="218"/>
      <c r="I870" s="218"/>
      <c r="J870" s="218"/>
      <c r="K870" s="218"/>
      <c r="L870" s="218"/>
      <c r="M870" s="218"/>
      <c r="N870" s="218"/>
      <c r="O870" s="218"/>
      <c r="P870" s="218"/>
      <c r="Q870" s="218"/>
    </row>
    <row r="871">
      <c r="A871" s="218"/>
      <c r="B871" s="218"/>
      <c r="C871" s="218"/>
      <c r="D871" s="218"/>
      <c r="E871" s="218"/>
      <c r="F871" s="218"/>
      <c r="G871" s="218"/>
      <c r="H871" s="218"/>
      <c r="I871" s="218"/>
      <c r="J871" s="218"/>
      <c r="K871" s="218"/>
      <c r="L871" s="218"/>
      <c r="M871" s="218"/>
      <c r="N871" s="218"/>
      <c r="O871" s="218"/>
      <c r="P871" s="218"/>
      <c r="Q871" s="218"/>
    </row>
    <row r="872">
      <c r="A872" s="218"/>
      <c r="B872" s="218"/>
      <c r="C872" s="218"/>
      <c r="D872" s="218"/>
      <c r="E872" s="218"/>
      <c r="F872" s="218"/>
      <c r="G872" s="218"/>
      <c r="H872" s="218"/>
      <c r="I872" s="218"/>
      <c r="J872" s="218"/>
      <c r="K872" s="218"/>
      <c r="L872" s="218"/>
      <c r="M872" s="218"/>
      <c r="N872" s="218"/>
      <c r="O872" s="218"/>
      <c r="P872" s="218"/>
      <c r="Q872" s="218"/>
    </row>
    <row r="873">
      <c r="A873" s="218"/>
      <c r="B873" s="218"/>
      <c r="C873" s="218"/>
      <c r="D873" s="218"/>
      <c r="E873" s="218"/>
      <c r="F873" s="218"/>
      <c r="G873" s="218"/>
      <c r="H873" s="218"/>
      <c r="I873" s="218"/>
      <c r="J873" s="218"/>
      <c r="K873" s="218"/>
      <c r="L873" s="218"/>
      <c r="M873" s="218"/>
      <c r="N873" s="218"/>
      <c r="O873" s="218"/>
      <c r="P873" s="218"/>
      <c r="Q873" s="218"/>
    </row>
    <row r="874">
      <c r="A874" s="218"/>
      <c r="B874" s="218"/>
      <c r="C874" s="218"/>
      <c r="D874" s="218"/>
      <c r="E874" s="218"/>
      <c r="F874" s="218"/>
      <c r="G874" s="218"/>
      <c r="H874" s="218"/>
      <c r="I874" s="218"/>
      <c r="J874" s="218"/>
      <c r="K874" s="218"/>
      <c r="L874" s="218"/>
      <c r="M874" s="218"/>
      <c r="N874" s="218"/>
      <c r="O874" s="218"/>
      <c r="P874" s="218"/>
      <c r="Q874" s="218"/>
    </row>
    <row r="875">
      <c r="A875" s="218"/>
      <c r="B875" s="218"/>
      <c r="C875" s="218"/>
      <c r="D875" s="218"/>
      <c r="E875" s="218"/>
      <c r="F875" s="218"/>
      <c r="G875" s="218"/>
      <c r="H875" s="218"/>
      <c r="I875" s="218"/>
      <c r="J875" s="218"/>
      <c r="K875" s="218"/>
      <c r="L875" s="218"/>
      <c r="M875" s="218"/>
      <c r="N875" s="218"/>
      <c r="O875" s="218"/>
      <c r="P875" s="218"/>
      <c r="Q875" s="218"/>
    </row>
    <row r="876">
      <c r="A876" s="218"/>
      <c r="B876" s="218"/>
      <c r="C876" s="218"/>
      <c r="D876" s="218"/>
      <c r="E876" s="218"/>
      <c r="F876" s="218"/>
      <c r="G876" s="218"/>
      <c r="H876" s="218"/>
      <c r="I876" s="218"/>
      <c r="J876" s="218"/>
      <c r="K876" s="218"/>
      <c r="L876" s="218"/>
      <c r="M876" s="218"/>
      <c r="N876" s="218"/>
      <c r="O876" s="218"/>
      <c r="P876" s="218"/>
      <c r="Q876" s="218"/>
    </row>
    <row r="877">
      <c r="A877" s="218"/>
      <c r="B877" s="218"/>
      <c r="C877" s="218"/>
      <c r="D877" s="218"/>
      <c r="E877" s="218"/>
      <c r="F877" s="218"/>
      <c r="G877" s="218"/>
      <c r="H877" s="218"/>
      <c r="I877" s="218"/>
      <c r="J877" s="218"/>
      <c r="K877" s="218"/>
      <c r="L877" s="218"/>
      <c r="M877" s="218"/>
      <c r="N877" s="218"/>
      <c r="O877" s="218"/>
      <c r="P877" s="218"/>
      <c r="Q877" s="218"/>
    </row>
    <row r="878">
      <c r="A878" s="218"/>
      <c r="B878" s="218"/>
      <c r="C878" s="218"/>
      <c r="D878" s="218"/>
      <c r="E878" s="218"/>
      <c r="F878" s="218"/>
      <c r="G878" s="218"/>
      <c r="H878" s="218"/>
      <c r="I878" s="218"/>
      <c r="J878" s="218"/>
      <c r="K878" s="218"/>
      <c r="L878" s="218"/>
      <c r="M878" s="218"/>
      <c r="N878" s="218"/>
      <c r="O878" s="218"/>
      <c r="P878" s="218"/>
      <c r="Q878" s="218"/>
    </row>
    <row r="879">
      <c r="A879" s="218"/>
      <c r="B879" s="218"/>
      <c r="C879" s="218"/>
      <c r="D879" s="218"/>
      <c r="E879" s="218"/>
      <c r="F879" s="218"/>
      <c r="G879" s="218"/>
      <c r="H879" s="218"/>
      <c r="I879" s="218"/>
      <c r="J879" s="218"/>
      <c r="K879" s="218"/>
      <c r="L879" s="218"/>
      <c r="M879" s="218"/>
      <c r="N879" s="218"/>
      <c r="O879" s="218"/>
      <c r="P879" s="218"/>
      <c r="Q879" s="218"/>
    </row>
    <row r="880">
      <c r="A880" s="218"/>
      <c r="B880" s="218"/>
      <c r="C880" s="218"/>
      <c r="D880" s="218"/>
      <c r="E880" s="218"/>
      <c r="F880" s="218"/>
      <c r="G880" s="218"/>
      <c r="H880" s="218"/>
      <c r="I880" s="218"/>
      <c r="J880" s="218"/>
      <c r="K880" s="218"/>
      <c r="L880" s="218"/>
      <c r="M880" s="218"/>
      <c r="N880" s="218"/>
      <c r="O880" s="218"/>
      <c r="P880" s="218"/>
      <c r="Q880" s="218"/>
    </row>
    <row r="881">
      <c r="A881" s="218"/>
      <c r="B881" s="218"/>
      <c r="C881" s="218"/>
      <c r="D881" s="218"/>
      <c r="E881" s="218"/>
      <c r="F881" s="218"/>
      <c r="G881" s="218"/>
      <c r="H881" s="218"/>
      <c r="I881" s="218"/>
      <c r="J881" s="218"/>
      <c r="K881" s="218"/>
      <c r="L881" s="218"/>
      <c r="M881" s="218"/>
      <c r="N881" s="218"/>
      <c r="O881" s="218"/>
      <c r="P881" s="218"/>
      <c r="Q881" s="218"/>
    </row>
    <row r="882">
      <c r="A882" s="218"/>
      <c r="B882" s="218"/>
      <c r="C882" s="218"/>
      <c r="D882" s="218"/>
      <c r="E882" s="218"/>
      <c r="F882" s="218"/>
      <c r="G882" s="218"/>
      <c r="H882" s="218"/>
      <c r="I882" s="218"/>
      <c r="J882" s="218"/>
      <c r="K882" s="218"/>
      <c r="L882" s="218"/>
      <c r="M882" s="218"/>
      <c r="N882" s="218"/>
      <c r="O882" s="218"/>
      <c r="P882" s="218"/>
      <c r="Q882" s="218"/>
    </row>
    <row r="883">
      <c r="A883" s="218"/>
      <c r="B883" s="218"/>
      <c r="C883" s="218"/>
      <c r="D883" s="218"/>
      <c r="E883" s="218"/>
      <c r="F883" s="218"/>
      <c r="G883" s="218"/>
      <c r="H883" s="218"/>
      <c r="I883" s="218"/>
      <c r="J883" s="218"/>
      <c r="K883" s="218"/>
      <c r="L883" s="218"/>
      <c r="M883" s="218"/>
      <c r="N883" s="218"/>
      <c r="O883" s="218"/>
      <c r="P883" s="218"/>
      <c r="Q883" s="218"/>
    </row>
    <row r="884">
      <c r="A884" s="218"/>
      <c r="B884" s="218"/>
      <c r="C884" s="218"/>
      <c r="D884" s="218"/>
      <c r="E884" s="218"/>
      <c r="F884" s="218"/>
      <c r="G884" s="218"/>
      <c r="H884" s="218"/>
      <c r="I884" s="218"/>
      <c r="J884" s="218"/>
      <c r="K884" s="218"/>
      <c r="L884" s="218"/>
      <c r="M884" s="218"/>
      <c r="N884" s="218"/>
      <c r="O884" s="218"/>
      <c r="P884" s="218"/>
      <c r="Q884" s="218"/>
    </row>
    <row r="885">
      <c r="A885" s="218"/>
      <c r="B885" s="218"/>
      <c r="C885" s="218"/>
      <c r="D885" s="218"/>
      <c r="E885" s="218"/>
      <c r="F885" s="218"/>
      <c r="G885" s="218"/>
      <c r="H885" s="218"/>
      <c r="I885" s="218"/>
      <c r="J885" s="218"/>
      <c r="K885" s="218"/>
      <c r="L885" s="218"/>
      <c r="M885" s="218"/>
      <c r="N885" s="218"/>
      <c r="O885" s="218"/>
      <c r="P885" s="218"/>
      <c r="Q885" s="218"/>
    </row>
    <row r="886">
      <c r="A886" s="218"/>
      <c r="B886" s="218"/>
      <c r="C886" s="218"/>
      <c r="D886" s="218"/>
      <c r="E886" s="218"/>
      <c r="F886" s="218"/>
      <c r="G886" s="218"/>
      <c r="H886" s="218"/>
      <c r="I886" s="218"/>
      <c r="J886" s="218"/>
      <c r="K886" s="218"/>
      <c r="L886" s="218"/>
      <c r="M886" s="218"/>
      <c r="N886" s="218"/>
      <c r="O886" s="218"/>
      <c r="P886" s="218"/>
      <c r="Q886" s="218"/>
    </row>
    <row r="887">
      <c r="A887" s="218"/>
      <c r="B887" s="218"/>
      <c r="C887" s="218"/>
      <c r="D887" s="218"/>
      <c r="E887" s="218"/>
      <c r="F887" s="218"/>
      <c r="G887" s="218"/>
      <c r="H887" s="218"/>
      <c r="I887" s="218"/>
      <c r="J887" s="218"/>
      <c r="K887" s="218"/>
      <c r="L887" s="218"/>
      <c r="M887" s="218"/>
      <c r="N887" s="218"/>
      <c r="O887" s="218"/>
      <c r="P887" s="218"/>
      <c r="Q887" s="218"/>
    </row>
    <row r="888">
      <c r="A888" s="218"/>
      <c r="B888" s="218"/>
      <c r="C888" s="218"/>
      <c r="D888" s="218"/>
      <c r="E888" s="218"/>
      <c r="F888" s="218"/>
      <c r="G888" s="218"/>
      <c r="H888" s="218"/>
      <c r="I888" s="218"/>
      <c r="J888" s="218"/>
      <c r="K888" s="218"/>
      <c r="L888" s="218"/>
      <c r="M888" s="218"/>
      <c r="N888" s="218"/>
      <c r="O888" s="218"/>
      <c r="P888" s="218"/>
      <c r="Q888" s="218"/>
    </row>
    <row r="889">
      <c r="A889" s="218"/>
      <c r="B889" s="218"/>
      <c r="C889" s="218"/>
      <c r="D889" s="218"/>
      <c r="E889" s="218"/>
      <c r="F889" s="218"/>
      <c r="G889" s="218"/>
      <c r="H889" s="218"/>
      <c r="I889" s="218"/>
      <c r="J889" s="218"/>
      <c r="K889" s="218"/>
      <c r="L889" s="218"/>
      <c r="M889" s="218"/>
      <c r="N889" s="218"/>
      <c r="O889" s="218"/>
      <c r="P889" s="218"/>
      <c r="Q889" s="218"/>
    </row>
    <row r="890">
      <c r="A890" s="218"/>
      <c r="B890" s="218"/>
      <c r="C890" s="218"/>
      <c r="D890" s="218"/>
      <c r="E890" s="218"/>
      <c r="F890" s="218"/>
      <c r="G890" s="218"/>
      <c r="H890" s="218"/>
      <c r="I890" s="218"/>
      <c r="J890" s="218"/>
      <c r="K890" s="218"/>
      <c r="L890" s="218"/>
      <c r="M890" s="218"/>
      <c r="N890" s="218"/>
      <c r="O890" s="218"/>
      <c r="P890" s="218"/>
      <c r="Q890" s="218"/>
    </row>
    <row r="891">
      <c r="A891" s="218"/>
      <c r="B891" s="218"/>
      <c r="C891" s="218"/>
      <c r="D891" s="218"/>
      <c r="E891" s="218"/>
      <c r="F891" s="218"/>
      <c r="G891" s="218"/>
      <c r="H891" s="218"/>
      <c r="I891" s="218"/>
      <c r="J891" s="218"/>
      <c r="K891" s="218"/>
      <c r="L891" s="218"/>
      <c r="M891" s="218"/>
      <c r="N891" s="218"/>
      <c r="O891" s="218"/>
      <c r="P891" s="218"/>
      <c r="Q891" s="218"/>
    </row>
    <row r="892">
      <c r="A892" s="218"/>
      <c r="B892" s="218"/>
      <c r="C892" s="218"/>
      <c r="D892" s="218"/>
      <c r="E892" s="218"/>
      <c r="F892" s="218"/>
      <c r="G892" s="218"/>
      <c r="H892" s="218"/>
      <c r="I892" s="218"/>
      <c r="J892" s="218"/>
      <c r="K892" s="218"/>
      <c r="L892" s="218"/>
      <c r="M892" s="218"/>
      <c r="N892" s="218"/>
      <c r="O892" s="218"/>
      <c r="P892" s="218"/>
      <c r="Q892" s="218"/>
    </row>
    <row r="893">
      <c r="A893" s="218"/>
      <c r="B893" s="218"/>
      <c r="C893" s="218"/>
      <c r="D893" s="218"/>
      <c r="E893" s="218"/>
      <c r="F893" s="218"/>
      <c r="G893" s="218"/>
      <c r="H893" s="218"/>
      <c r="I893" s="218"/>
      <c r="J893" s="218"/>
      <c r="K893" s="218"/>
      <c r="L893" s="218"/>
      <c r="M893" s="218"/>
      <c r="N893" s="218"/>
      <c r="O893" s="218"/>
      <c r="P893" s="218"/>
      <c r="Q893" s="218"/>
    </row>
    <row r="894">
      <c r="A894" s="218"/>
      <c r="B894" s="218"/>
      <c r="C894" s="218"/>
      <c r="D894" s="218"/>
      <c r="E894" s="218"/>
      <c r="F894" s="218"/>
      <c r="G894" s="218"/>
      <c r="H894" s="218"/>
      <c r="I894" s="218"/>
      <c r="J894" s="218"/>
      <c r="K894" s="218"/>
      <c r="L894" s="218"/>
      <c r="M894" s="218"/>
      <c r="N894" s="218"/>
      <c r="O894" s="218"/>
      <c r="P894" s="218"/>
      <c r="Q894" s="218"/>
    </row>
    <row r="895">
      <c r="A895" s="218"/>
      <c r="B895" s="218"/>
      <c r="C895" s="218"/>
      <c r="D895" s="218"/>
      <c r="E895" s="218"/>
      <c r="F895" s="218"/>
      <c r="G895" s="218"/>
      <c r="H895" s="218"/>
      <c r="I895" s="218"/>
      <c r="J895" s="218"/>
      <c r="K895" s="218"/>
      <c r="L895" s="218"/>
      <c r="M895" s="218"/>
      <c r="N895" s="218"/>
      <c r="O895" s="218"/>
      <c r="P895" s="218"/>
      <c r="Q895" s="218"/>
    </row>
    <row r="896">
      <c r="A896" s="218"/>
      <c r="B896" s="218"/>
      <c r="C896" s="218"/>
      <c r="D896" s="218"/>
      <c r="E896" s="218"/>
      <c r="F896" s="218"/>
      <c r="G896" s="218"/>
      <c r="H896" s="218"/>
      <c r="I896" s="218"/>
      <c r="J896" s="218"/>
      <c r="K896" s="218"/>
      <c r="L896" s="218"/>
      <c r="M896" s="218"/>
      <c r="N896" s="218"/>
      <c r="O896" s="218"/>
      <c r="P896" s="218"/>
      <c r="Q896" s="218"/>
    </row>
    <row r="897">
      <c r="A897" s="218"/>
      <c r="B897" s="218"/>
      <c r="C897" s="218"/>
      <c r="D897" s="218"/>
      <c r="E897" s="218"/>
      <c r="F897" s="218"/>
      <c r="G897" s="218"/>
      <c r="H897" s="218"/>
      <c r="I897" s="218"/>
      <c r="J897" s="218"/>
      <c r="K897" s="218"/>
      <c r="L897" s="218"/>
      <c r="M897" s="218"/>
      <c r="N897" s="218"/>
      <c r="O897" s="218"/>
      <c r="P897" s="218"/>
      <c r="Q897" s="218"/>
    </row>
    <row r="898">
      <c r="A898" s="218"/>
      <c r="B898" s="218"/>
      <c r="C898" s="218"/>
      <c r="D898" s="218"/>
      <c r="E898" s="218"/>
      <c r="F898" s="218"/>
      <c r="G898" s="218"/>
      <c r="H898" s="218"/>
      <c r="I898" s="218"/>
      <c r="J898" s="218"/>
      <c r="K898" s="218"/>
      <c r="L898" s="218"/>
      <c r="M898" s="218"/>
      <c r="N898" s="218"/>
      <c r="O898" s="218"/>
      <c r="P898" s="218"/>
      <c r="Q898" s="218"/>
    </row>
    <row r="899">
      <c r="A899" s="218"/>
      <c r="B899" s="218"/>
      <c r="C899" s="218"/>
      <c r="D899" s="218"/>
      <c r="E899" s="218"/>
      <c r="F899" s="218"/>
      <c r="G899" s="218"/>
      <c r="H899" s="218"/>
      <c r="I899" s="218"/>
      <c r="J899" s="218"/>
      <c r="K899" s="218"/>
      <c r="L899" s="218"/>
      <c r="M899" s="218"/>
      <c r="N899" s="218"/>
      <c r="O899" s="218"/>
      <c r="P899" s="218"/>
      <c r="Q899" s="218"/>
    </row>
    <row r="900">
      <c r="A900" s="218"/>
      <c r="B900" s="218"/>
      <c r="C900" s="218"/>
      <c r="D900" s="218"/>
      <c r="E900" s="218"/>
      <c r="F900" s="218"/>
      <c r="G900" s="218"/>
      <c r="H900" s="218"/>
      <c r="I900" s="218"/>
      <c r="J900" s="218"/>
      <c r="K900" s="218"/>
      <c r="L900" s="218"/>
      <c r="M900" s="218"/>
      <c r="N900" s="218"/>
      <c r="O900" s="218"/>
      <c r="P900" s="218"/>
      <c r="Q900" s="218"/>
    </row>
    <row r="901">
      <c r="A901" s="218"/>
      <c r="B901" s="218"/>
      <c r="C901" s="218"/>
      <c r="D901" s="218"/>
      <c r="E901" s="218"/>
      <c r="F901" s="218"/>
      <c r="G901" s="218"/>
      <c r="H901" s="218"/>
      <c r="I901" s="218"/>
      <c r="J901" s="218"/>
      <c r="K901" s="218"/>
      <c r="L901" s="218"/>
      <c r="M901" s="218"/>
      <c r="N901" s="218"/>
      <c r="O901" s="218"/>
      <c r="P901" s="218"/>
      <c r="Q901" s="218"/>
    </row>
    <row r="902">
      <c r="A902" s="218"/>
      <c r="B902" s="218"/>
      <c r="C902" s="218"/>
      <c r="D902" s="218"/>
      <c r="E902" s="218"/>
      <c r="F902" s="218"/>
      <c r="G902" s="218"/>
      <c r="H902" s="218"/>
      <c r="I902" s="218"/>
      <c r="J902" s="218"/>
      <c r="K902" s="218"/>
      <c r="L902" s="218"/>
      <c r="M902" s="218"/>
      <c r="N902" s="218"/>
      <c r="O902" s="218"/>
      <c r="P902" s="218"/>
      <c r="Q902" s="218"/>
    </row>
    <row r="903">
      <c r="A903" s="218"/>
      <c r="B903" s="218"/>
      <c r="C903" s="218"/>
      <c r="D903" s="218"/>
      <c r="E903" s="218"/>
      <c r="F903" s="218"/>
      <c r="G903" s="218"/>
      <c r="H903" s="218"/>
      <c r="I903" s="218"/>
      <c r="J903" s="218"/>
      <c r="K903" s="218"/>
      <c r="L903" s="218"/>
      <c r="M903" s="218"/>
      <c r="N903" s="218"/>
      <c r="O903" s="218"/>
      <c r="P903" s="218"/>
      <c r="Q903" s="218"/>
    </row>
    <row r="904">
      <c r="A904" s="218"/>
      <c r="B904" s="218"/>
      <c r="C904" s="218"/>
      <c r="D904" s="218"/>
      <c r="E904" s="218"/>
      <c r="F904" s="218"/>
      <c r="G904" s="218"/>
      <c r="H904" s="218"/>
      <c r="I904" s="218"/>
      <c r="J904" s="218"/>
      <c r="K904" s="218"/>
      <c r="L904" s="218"/>
      <c r="M904" s="218"/>
      <c r="N904" s="218"/>
      <c r="O904" s="218"/>
      <c r="P904" s="218"/>
      <c r="Q904" s="218"/>
    </row>
    <row r="905">
      <c r="A905" s="218"/>
      <c r="B905" s="218"/>
      <c r="C905" s="218"/>
      <c r="D905" s="218"/>
      <c r="E905" s="218"/>
      <c r="F905" s="218"/>
      <c r="G905" s="218"/>
      <c r="H905" s="218"/>
      <c r="I905" s="218"/>
      <c r="J905" s="218"/>
      <c r="K905" s="218"/>
      <c r="L905" s="218"/>
      <c r="M905" s="218"/>
      <c r="N905" s="218"/>
      <c r="O905" s="218"/>
      <c r="P905" s="218"/>
      <c r="Q905" s="218"/>
    </row>
    <row r="906">
      <c r="A906" s="218"/>
      <c r="B906" s="218"/>
      <c r="C906" s="218"/>
      <c r="D906" s="218"/>
      <c r="E906" s="218"/>
      <c r="F906" s="218"/>
      <c r="G906" s="218"/>
      <c r="H906" s="218"/>
      <c r="I906" s="218"/>
      <c r="J906" s="218"/>
      <c r="K906" s="218"/>
      <c r="L906" s="218"/>
      <c r="M906" s="218"/>
      <c r="N906" s="218"/>
      <c r="O906" s="218"/>
      <c r="P906" s="218"/>
      <c r="Q906" s="218"/>
    </row>
    <row r="907">
      <c r="A907" s="218"/>
      <c r="B907" s="218"/>
      <c r="C907" s="218"/>
      <c r="D907" s="218"/>
      <c r="E907" s="218"/>
      <c r="F907" s="218"/>
      <c r="G907" s="218"/>
      <c r="H907" s="218"/>
      <c r="I907" s="218"/>
      <c r="J907" s="218"/>
      <c r="K907" s="218"/>
      <c r="L907" s="218"/>
      <c r="M907" s="218"/>
      <c r="N907" s="218"/>
      <c r="O907" s="218"/>
      <c r="P907" s="218"/>
      <c r="Q907" s="218"/>
    </row>
    <row r="908">
      <c r="A908" s="218"/>
      <c r="B908" s="218"/>
      <c r="C908" s="218"/>
      <c r="D908" s="218"/>
      <c r="E908" s="218"/>
      <c r="F908" s="218"/>
      <c r="G908" s="218"/>
      <c r="H908" s="218"/>
      <c r="I908" s="218"/>
      <c r="J908" s="218"/>
      <c r="K908" s="218"/>
      <c r="L908" s="218"/>
      <c r="M908" s="218"/>
      <c r="N908" s="218"/>
      <c r="O908" s="218"/>
      <c r="P908" s="218"/>
      <c r="Q908" s="218"/>
    </row>
    <row r="909">
      <c r="A909" s="218"/>
      <c r="B909" s="218"/>
      <c r="C909" s="218"/>
      <c r="D909" s="218"/>
      <c r="E909" s="218"/>
      <c r="F909" s="218"/>
      <c r="G909" s="218"/>
      <c r="H909" s="218"/>
      <c r="I909" s="218"/>
      <c r="J909" s="218"/>
      <c r="K909" s="218"/>
      <c r="L909" s="218"/>
      <c r="M909" s="218"/>
      <c r="N909" s="218"/>
      <c r="O909" s="218"/>
      <c r="P909" s="218"/>
      <c r="Q909" s="218"/>
    </row>
    <row r="910">
      <c r="A910" s="218"/>
      <c r="B910" s="218"/>
      <c r="C910" s="218"/>
      <c r="D910" s="218"/>
      <c r="E910" s="218"/>
      <c r="F910" s="218"/>
      <c r="G910" s="218"/>
      <c r="H910" s="218"/>
      <c r="I910" s="218"/>
      <c r="J910" s="218"/>
      <c r="K910" s="218"/>
      <c r="L910" s="218"/>
      <c r="M910" s="218"/>
      <c r="N910" s="218"/>
      <c r="O910" s="218"/>
      <c r="P910" s="218"/>
      <c r="Q910" s="218"/>
    </row>
    <row r="911">
      <c r="A911" s="218"/>
      <c r="B911" s="218"/>
      <c r="C911" s="218"/>
      <c r="D911" s="218"/>
      <c r="E911" s="218"/>
      <c r="F911" s="218"/>
      <c r="G911" s="218"/>
      <c r="H911" s="218"/>
      <c r="I911" s="218"/>
      <c r="J911" s="218"/>
      <c r="K911" s="218"/>
      <c r="L911" s="218"/>
      <c r="M911" s="218"/>
      <c r="N911" s="218"/>
      <c r="O911" s="218"/>
      <c r="P911" s="218"/>
      <c r="Q911" s="218"/>
    </row>
    <row r="912">
      <c r="A912" s="218"/>
      <c r="B912" s="218"/>
      <c r="C912" s="218"/>
      <c r="D912" s="218"/>
      <c r="E912" s="218"/>
      <c r="F912" s="218"/>
      <c r="G912" s="218"/>
      <c r="H912" s="218"/>
      <c r="I912" s="218"/>
      <c r="J912" s="218"/>
      <c r="K912" s="218"/>
      <c r="L912" s="218"/>
      <c r="M912" s="218"/>
      <c r="N912" s="218"/>
      <c r="O912" s="218"/>
      <c r="P912" s="218"/>
      <c r="Q912" s="218"/>
    </row>
    <row r="913">
      <c r="A913" s="218"/>
      <c r="B913" s="218"/>
      <c r="C913" s="218"/>
      <c r="D913" s="218"/>
      <c r="E913" s="218"/>
      <c r="F913" s="218"/>
      <c r="G913" s="218"/>
      <c r="H913" s="218"/>
      <c r="I913" s="218"/>
      <c r="J913" s="218"/>
      <c r="K913" s="218"/>
      <c r="L913" s="218"/>
      <c r="M913" s="218"/>
      <c r="N913" s="218"/>
      <c r="O913" s="218"/>
      <c r="P913" s="218"/>
      <c r="Q913" s="218"/>
    </row>
    <row r="914">
      <c r="A914" s="218"/>
      <c r="B914" s="218"/>
      <c r="C914" s="218"/>
      <c r="D914" s="218"/>
      <c r="E914" s="218"/>
      <c r="F914" s="218"/>
      <c r="G914" s="218"/>
      <c r="H914" s="218"/>
      <c r="I914" s="218"/>
      <c r="J914" s="218"/>
      <c r="K914" s="218"/>
      <c r="L914" s="218"/>
      <c r="M914" s="218"/>
      <c r="N914" s="218"/>
      <c r="O914" s="218"/>
      <c r="P914" s="218"/>
      <c r="Q914" s="218"/>
    </row>
    <row r="915">
      <c r="A915" s="218"/>
      <c r="B915" s="218"/>
      <c r="C915" s="218"/>
      <c r="D915" s="218"/>
      <c r="E915" s="218"/>
      <c r="F915" s="218"/>
      <c r="G915" s="218"/>
      <c r="H915" s="218"/>
      <c r="I915" s="218"/>
      <c r="J915" s="218"/>
      <c r="K915" s="218"/>
      <c r="L915" s="218"/>
      <c r="M915" s="218"/>
      <c r="N915" s="218"/>
      <c r="O915" s="218"/>
      <c r="P915" s="218"/>
      <c r="Q915" s="218"/>
    </row>
    <row r="916">
      <c r="A916" s="218"/>
      <c r="B916" s="218"/>
      <c r="C916" s="218"/>
      <c r="D916" s="218"/>
      <c r="E916" s="218"/>
      <c r="F916" s="218"/>
      <c r="G916" s="218"/>
      <c r="H916" s="218"/>
      <c r="I916" s="218"/>
      <c r="J916" s="218"/>
      <c r="K916" s="218"/>
      <c r="L916" s="218"/>
      <c r="M916" s="218"/>
      <c r="N916" s="218"/>
      <c r="O916" s="218"/>
      <c r="P916" s="218"/>
      <c r="Q916" s="218"/>
    </row>
    <row r="917">
      <c r="A917" s="218"/>
      <c r="B917" s="218"/>
      <c r="C917" s="218"/>
      <c r="D917" s="218"/>
      <c r="E917" s="218"/>
      <c r="F917" s="218"/>
      <c r="G917" s="218"/>
      <c r="H917" s="218"/>
      <c r="I917" s="218"/>
      <c r="J917" s="218"/>
      <c r="K917" s="218"/>
      <c r="L917" s="218"/>
      <c r="M917" s="218"/>
      <c r="N917" s="218"/>
      <c r="O917" s="218"/>
      <c r="P917" s="218"/>
      <c r="Q917" s="218"/>
    </row>
    <row r="918">
      <c r="A918" s="218"/>
      <c r="B918" s="218"/>
      <c r="C918" s="218"/>
      <c r="D918" s="218"/>
      <c r="E918" s="218"/>
      <c r="F918" s="218"/>
      <c r="G918" s="218"/>
      <c r="H918" s="218"/>
      <c r="I918" s="218"/>
      <c r="J918" s="218"/>
      <c r="K918" s="218"/>
      <c r="L918" s="218"/>
      <c r="M918" s="218"/>
      <c r="N918" s="218"/>
      <c r="O918" s="218"/>
      <c r="P918" s="218"/>
      <c r="Q918" s="218"/>
    </row>
    <row r="919">
      <c r="A919" s="218"/>
      <c r="B919" s="218"/>
      <c r="C919" s="218"/>
      <c r="D919" s="218"/>
      <c r="E919" s="218"/>
      <c r="F919" s="218"/>
      <c r="G919" s="218"/>
      <c r="H919" s="218"/>
      <c r="I919" s="218"/>
      <c r="J919" s="218"/>
      <c r="K919" s="218"/>
      <c r="L919" s="218"/>
      <c r="M919" s="218"/>
      <c r="N919" s="218"/>
      <c r="O919" s="218"/>
      <c r="P919" s="218"/>
      <c r="Q919" s="218"/>
    </row>
    <row r="920">
      <c r="A920" s="218"/>
      <c r="B920" s="218"/>
      <c r="C920" s="218"/>
      <c r="D920" s="218"/>
      <c r="E920" s="218"/>
      <c r="F920" s="218"/>
      <c r="G920" s="218"/>
      <c r="H920" s="218"/>
      <c r="I920" s="218"/>
      <c r="J920" s="218"/>
      <c r="K920" s="218"/>
      <c r="L920" s="218"/>
      <c r="M920" s="218"/>
      <c r="N920" s="218"/>
      <c r="O920" s="218"/>
      <c r="P920" s="218"/>
      <c r="Q920" s="218"/>
    </row>
    <row r="921">
      <c r="A921" s="218"/>
      <c r="B921" s="218"/>
      <c r="C921" s="218"/>
      <c r="D921" s="218"/>
      <c r="E921" s="218"/>
      <c r="F921" s="218"/>
      <c r="G921" s="218"/>
      <c r="H921" s="218"/>
      <c r="I921" s="218"/>
      <c r="J921" s="218"/>
      <c r="K921" s="218"/>
      <c r="L921" s="218"/>
      <c r="M921" s="218"/>
      <c r="N921" s="218"/>
      <c r="O921" s="218"/>
      <c r="P921" s="218"/>
      <c r="Q921" s="218"/>
    </row>
    <row r="922">
      <c r="A922" s="218"/>
      <c r="B922" s="218"/>
      <c r="C922" s="218"/>
      <c r="D922" s="218"/>
      <c r="E922" s="218"/>
      <c r="F922" s="218"/>
      <c r="G922" s="218"/>
      <c r="H922" s="218"/>
      <c r="I922" s="218"/>
      <c r="J922" s="218"/>
      <c r="K922" s="218"/>
      <c r="L922" s="218"/>
      <c r="M922" s="218"/>
      <c r="N922" s="218"/>
      <c r="O922" s="218"/>
      <c r="P922" s="218"/>
      <c r="Q922" s="218"/>
    </row>
    <row r="923">
      <c r="A923" s="218"/>
      <c r="B923" s="218"/>
      <c r="C923" s="218"/>
      <c r="D923" s="218"/>
      <c r="E923" s="218"/>
      <c r="F923" s="218"/>
      <c r="G923" s="218"/>
      <c r="H923" s="218"/>
      <c r="I923" s="218"/>
      <c r="J923" s="218"/>
      <c r="K923" s="218"/>
      <c r="L923" s="218"/>
      <c r="M923" s="218"/>
      <c r="N923" s="218"/>
      <c r="O923" s="218"/>
      <c r="P923" s="218"/>
      <c r="Q923" s="218"/>
    </row>
    <row r="924">
      <c r="A924" s="218"/>
      <c r="B924" s="218"/>
      <c r="C924" s="218"/>
      <c r="D924" s="218"/>
      <c r="E924" s="218"/>
      <c r="F924" s="218"/>
      <c r="G924" s="218"/>
      <c r="H924" s="218"/>
      <c r="I924" s="218"/>
      <c r="J924" s="218"/>
      <c r="K924" s="218"/>
      <c r="L924" s="218"/>
      <c r="M924" s="218"/>
      <c r="N924" s="218"/>
      <c r="O924" s="218"/>
      <c r="P924" s="218"/>
      <c r="Q924" s="218"/>
    </row>
    <row r="925">
      <c r="A925" s="218"/>
      <c r="B925" s="218"/>
      <c r="C925" s="218"/>
      <c r="D925" s="218"/>
      <c r="E925" s="218"/>
      <c r="F925" s="218"/>
      <c r="G925" s="218"/>
      <c r="H925" s="218"/>
      <c r="I925" s="218"/>
      <c r="J925" s="218"/>
      <c r="K925" s="218"/>
      <c r="L925" s="218"/>
      <c r="M925" s="218"/>
      <c r="N925" s="218"/>
      <c r="O925" s="218"/>
      <c r="P925" s="218"/>
      <c r="Q925" s="218"/>
    </row>
    <row r="926">
      <c r="A926" s="218"/>
      <c r="B926" s="218"/>
      <c r="C926" s="218"/>
      <c r="D926" s="218"/>
      <c r="E926" s="218"/>
      <c r="F926" s="218"/>
      <c r="G926" s="218"/>
      <c r="H926" s="218"/>
      <c r="I926" s="218"/>
      <c r="J926" s="218"/>
      <c r="K926" s="218"/>
      <c r="L926" s="218"/>
      <c r="M926" s="218"/>
      <c r="N926" s="218"/>
      <c r="O926" s="218"/>
      <c r="P926" s="218"/>
      <c r="Q926" s="218"/>
    </row>
    <row r="927">
      <c r="A927" s="218"/>
      <c r="B927" s="218"/>
      <c r="C927" s="218"/>
      <c r="D927" s="218"/>
      <c r="E927" s="218"/>
      <c r="F927" s="218"/>
      <c r="G927" s="218"/>
      <c r="H927" s="218"/>
      <c r="I927" s="218"/>
      <c r="J927" s="218"/>
      <c r="K927" s="218"/>
      <c r="L927" s="218"/>
      <c r="M927" s="218"/>
      <c r="N927" s="218"/>
      <c r="O927" s="218"/>
      <c r="P927" s="218"/>
      <c r="Q927" s="218"/>
    </row>
    <row r="928">
      <c r="A928" s="218"/>
      <c r="B928" s="218"/>
      <c r="C928" s="218"/>
      <c r="D928" s="218"/>
      <c r="E928" s="218"/>
      <c r="F928" s="218"/>
      <c r="G928" s="218"/>
      <c r="H928" s="218"/>
      <c r="I928" s="218"/>
      <c r="J928" s="218"/>
      <c r="K928" s="218"/>
      <c r="L928" s="218"/>
      <c r="M928" s="218"/>
      <c r="N928" s="218"/>
      <c r="O928" s="218"/>
      <c r="P928" s="218"/>
      <c r="Q928" s="218"/>
    </row>
    <row r="929">
      <c r="A929" s="218"/>
      <c r="B929" s="218"/>
      <c r="C929" s="218"/>
      <c r="D929" s="218"/>
      <c r="E929" s="218"/>
      <c r="F929" s="218"/>
      <c r="G929" s="218"/>
      <c r="H929" s="218"/>
      <c r="I929" s="218"/>
      <c r="J929" s="218"/>
      <c r="K929" s="218"/>
      <c r="L929" s="218"/>
      <c r="M929" s="218"/>
      <c r="N929" s="218"/>
      <c r="O929" s="218"/>
      <c r="P929" s="218"/>
      <c r="Q929" s="218"/>
    </row>
    <row r="930">
      <c r="A930" s="218"/>
      <c r="B930" s="218"/>
      <c r="C930" s="218"/>
      <c r="D930" s="218"/>
      <c r="E930" s="218"/>
      <c r="F930" s="218"/>
      <c r="G930" s="218"/>
      <c r="H930" s="218"/>
      <c r="I930" s="218"/>
      <c r="J930" s="218"/>
      <c r="K930" s="218"/>
      <c r="L930" s="218"/>
      <c r="M930" s="218"/>
      <c r="N930" s="218"/>
      <c r="O930" s="218"/>
      <c r="P930" s="218"/>
      <c r="Q930" s="218"/>
    </row>
    <row r="931">
      <c r="A931" s="218"/>
      <c r="B931" s="218"/>
      <c r="C931" s="218"/>
      <c r="D931" s="218"/>
      <c r="E931" s="218"/>
      <c r="F931" s="218"/>
      <c r="G931" s="218"/>
      <c r="H931" s="218"/>
      <c r="I931" s="218"/>
      <c r="J931" s="218"/>
      <c r="K931" s="218"/>
      <c r="L931" s="218"/>
      <c r="M931" s="218"/>
      <c r="N931" s="218"/>
      <c r="O931" s="218"/>
      <c r="P931" s="218"/>
      <c r="Q931" s="218"/>
    </row>
    <row r="932">
      <c r="A932" s="218"/>
      <c r="B932" s="218"/>
      <c r="C932" s="218"/>
      <c r="D932" s="218"/>
      <c r="E932" s="218"/>
      <c r="F932" s="218"/>
      <c r="G932" s="218"/>
      <c r="H932" s="218"/>
      <c r="I932" s="218"/>
      <c r="J932" s="218"/>
      <c r="K932" s="218"/>
      <c r="L932" s="218"/>
      <c r="M932" s="218"/>
      <c r="N932" s="218"/>
      <c r="O932" s="218"/>
      <c r="P932" s="218"/>
      <c r="Q932" s="218"/>
    </row>
    <row r="933">
      <c r="A933" s="218"/>
      <c r="B933" s="218"/>
      <c r="C933" s="218"/>
      <c r="D933" s="218"/>
      <c r="E933" s="218"/>
      <c r="F933" s="218"/>
      <c r="G933" s="218"/>
      <c r="H933" s="218"/>
      <c r="I933" s="218"/>
      <c r="J933" s="218"/>
      <c r="K933" s="218"/>
      <c r="L933" s="218"/>
      <c r="M933" s="218"/>
      <c r="N933" s="218"/>
      <c r="O933" s="218"/>
      <c r="P933" s="218"/>
      <c r="Q933" s="218"/>
    </row>
    <row r="934">
      <c r="A934" s="218"/>
      <c r="B934" s="218"/>
      <c r="C934" s="218"/>
      <c r="D934" s="218"/>
      <c r="E934" s="218"/>
      <c r="F934" s="218"/>
      <c r="G934" s="218"/>
      <c r="H934" s="218"/>
      <c r="I934" s="218"/>
      <c r="J934" s="218"/>
      <c r="K934" s="218"/>
      <c r="L934" s="218"/>
      <c r="M934" s="218"/>
      <c r="N934" s="218"/>
      <c r="O934" s="218"/>
      <c r="P934" s="218"/>
      <c r="Q934" s="218"/>
    </row>
    <row r="935">
      <c r="A935" s="218"/>
      <c r="B935" s="218"/>
      <c r="C935" s="218"/>
      <c r="D935" s="218"/>
      <c r="E935" s="218"/>
      <c r="F935" s="218"/>
      <c r="G935" s="218"/>
      <c r="H935" s="218"/>
      <c r="I935" s="218"/>
      <c r="J935" s="218"/>
      <c r="K935" s="218"/>
      <c r="L935" s="218"/>
      <c r="M935" s="218"/>
      <c r="N935" s="218"/>
      <c r="O935" s="218"/>
      <c r="P935" s="218"/>
      <c r="Q935" s="218"/>
    </row>
    <row r="936">
      <c r="A936" s="218"/>
      <c r="B936" s="218"/>
      <c r="C936" s="218"/>
      <c r="D936" s="218"/>
      <c r="E936" s="218"/>
      <c r="F936" s="218"/>
      <c r="G936" s="218"/>
      <c r="H936" s="218"/>
      <c r="I936" s="218"/>
      <c r="J936" s="218"/>
      <c r="K936" s="218"/>
      <c r="L936" s="218"/>
      <c r="M936" s="218"/>
      <c r="N936" s="218"/>
      <c r="O936" s="218"/>
      <c r="P936" s="218"/>
      <c r="Q936" s="218"/>
    </row>
    <row r="937">
      <c r="A937" s="218"/>
      <c r="B937" s="218"/>
      <c r="C937" s="218"/>
      <c r="D937" s="218"/>
      <c r="E937" s="218"/>
      <c r="F937" s="218"/>
      <c r="G937" s="218"/>
      <c r="H937" s="218"/>
      <c r="I937" s="218"/>
      <c r="J937" s="218"/>
      <c r="K937" s="218"/>
      <c r="L937" s="218"/>
      <c r="M937" s="218"/>
      <c r="N937" s="218"/>
      <c r="O937" s="218"/>
      <c r="P937" s="218"/>
      <c r="Q937" s="218"/>
    </row>
    <row r="938">
      <c r="A938" s="218"/>
      <c r="B938" s="218"/>
      <c r="C938" s="218"/>
      <c r="D938" s="218"/>
      <c r="E938" s="218"/>
      <c r="F938" s="218"/>
      <c r="G938" s="218"/>
      <c r="H938" s="218"/>
      <c r="I938" s="218"/>
      <c r="J938" s="218"/>
      <c r="K938" s="218"/>
      <c r="L938" s="218"/>
      <c r="M938" s="218"/>
      <c r="N938" s="218"/>
      <c r="O938" s="218"/>
      <c r="P938" s="218"/>
      <c r="Q938" s="218"/>
    </row>
    <row r="939">
      <c r="A939" s="218"/>
      <c r="B939" s="218"/>
      <c r="C939" s="218"/>
      <c r="D939" s="218"/>
      <c r="E939" s="218"/>
      <c r="F939" s="218"/>
      <c r="G939" s="218"/>
      <c r="H939" s="218"/>
      <c r="I939" s="218"/>
      <c r="J939" s="218"/>
      <c r="K939" s="218"/>
      <c r="L939" s="218"/>
      <c r="M939" s="218"/>
      <c r="N939" s="218"/>
      <c r="O939" s="218"/>
      <c r="P939" s="218"/>
      <c r="Q939" s="218"/>
    </row>
    <row r="940">
      <c r="A940" s="218"/>
      <c r="B940" s="218"/>
      <c r="C940" s="218"/>
      <c r="D940" s="218"/>
      <c r="E940" s="218"/>
      <c r="F940" s="218"/>
      <c r="G940" s="218"/>
      <c r="H940" s="218"/>
      <c r="I940" s="218"/>
      <c r="J940" s="218"/>
      <c r="K940" s="218"/>
      <c r="L940" s="218"/>
      <c r="M940" s="218"/>
      <c r="N940" s="218"/>
      <c r="O940" s="218"/>
      <c r="P940" s="218"/>
      <c r="Q940" s="218"/>
    </row>
    <row r="941">
      <c r="A941" s="218"/>
      <c r="B941" s="218"/>
      <c r="C941" s="218"/>
      <c r="D941" s="218"/>
      <c r="E941" s="218"/>
      <c r="F941" s="218"/>
      <c r="G941" s="218"/>
      <c r="H941" s="218"/>
      <c r="I941" s="218"/>
      <c r="J941" s="218"/>
      <c r="K941" s="218"/>
      <c r="L941" s="218"/>
      <c r="M941" s="218"/>
      <c r="N941" s="218"/>
      <c r="O941" s="218"/>
      <c r="P941" s="218"/>
      <c r="Q941" s="218"/>
    </row>
    <row r="942">
      <c r="A942" s="218"/>
      <c r="B942" s="218"/>
      <c r="C942" s="218"/>
      <c r="D942" s="218"/>
      <c r="E942" s="218"/>
      <c r="F942" s="218"/>
      <c r="G942" s="218"/>
      <c r="H942" s="218"/>
      <c r="I942" s="218"/>
      <c r="J942" s="218"/>
      <c r="K942" s="218"/>
      <c r="L942" s="218"/>
      <c r="M942" s="218"/>
      <c r="N942" s="218"/>
      <c r="O942" s="218"/>
      <c r="P942" s="218"/>
      <c r="Q942" s="218"/>
    </row>
    <row r="943">
      <c r="A943" s="218"/>
      <c r="B943" s="218"/>
      <c r="C943" s="218"/>
      <c r="D943" s="218"/>
      <c r="E943" s="218"/>
      <c r="F943" s="218"/>
      <c r="G943" s="218"/>
      <c r="H943" s="218"/>
      <c r="I943" s="218"/>
      <c r="J943" s="218"/>
      <c r="K943" s="218"/>
      <c r="L943" s="218"/>
      <c r="M943" s="218"/>
      <c r="N943" s="218"/>
      <c r="O943" s="218"/>
      <c r="P943" s="218"/>
      <c r="Q943" s="218"/>
    </row>
    <row r="944">
      <c r="A944" s="218"/>
      <c r="B944" s="218"/>
      <c r="C944" s="218"/>
      <c r="D944" s="218"/>
      <c r="E944" s="218"/>
      <c r="F944" s="218"/>
      <c r="G944" s="218"/>
      <c r="H944" s="218"/>
      <c r="I944" s="218"/>
      <c r="J944" s="218"/>
      <c r="K944" s="218"/>
      <c r="L944" s="218"/>
      <c r="M944" s="218"/>
      <c r="N944" s="218"/>
      <c r="O944" s="218"/>
      <c r="P944" s="218"/>
      <c r="Q944" s="218"/>
    </row>
    <row r="945">
      <c r="A945" s="218"/>
      <c r="B945" s="218"/>
      <c r="C945" s="218"/>
      <c r="D945" s="218"/>
      <c r="E945" s="218"/>
      <c r="F945" s="218"/>
      <c r="G945" s="218"/>
      <c r="H945" s="218"/>
      <c r="I945" s="218"/>
      <c r="J945" s="218"/>
      <c r="K945" s="218"/>
      <c r="L945" s="218"/>
      <c r="M945" s="218"/>
      <c r="N945" s="218"/>
      <c r="O945" s="218"/>
      <c r="P945" s="218"/>
      <c r="Q945" s="218"/>
    </row>
    <row r="946">
      <c r="A946" s="218"/>
      <c r="B946" s="218"/>
      <c r="C946" s="218"/>
      <c r="D946" s="218"/>
      <c r="E946" s="218"/>
      <c r="F946" s="218"/>
      <c r="G946" s="218"/>
      <c r="H946" s="218"/>
      <c r="I946" s="218"/>
      <c r="J946" s="218"/>
      <c r="K946" s="218"/>
      <c r="L946" s="218"/>
      <c r="M946" s="218"/>
      <c r="N946" s="218"/>
      <c r="O946" s="218"/>
      <c r="P946" s="218"/>
      <c r="Q946" s="218"/>
    </row>
    <row r="947">
      <c r="A947" s="218"/>
      <c r="B947" s="218"/>
      <c r="C947" s="218"/>
      <c r="D947" s="218"/>
      <c r="E947" s="218"/>
      <c r="F947" s="218"/>
      <c r="G947" s="218"/>
      <c r="H947" s="218"/>
      <c r="I947" s="218"/>
      <c r="J947" s="218"/>
      <c r="K947" s="218"/>
      <c r="L947" s="218"/>
      <c r="M947" s="218"/>
      <c r="N947" s="218"/>
      <c r="O947" s="218"/>
      <c r="P947" s="218"/>
      <c r="Q947" s="218"/>
    </row>
    <row r="948">
      <c r="A948" s="218"/>
      <c r="B948" s="218"/>
      <c r="C948" s="218"/>
      <c r="D948" s="218"/>
      <c r="E948" s="218"/>
      <c r="F948" s="218"/>
      <c r="G948" s="218"/>
      <c r="H948" s="218"/>
      <c r="I948" s="218"/>
      <c r="J948" s="218"/>
      <c r="K948" s="218"/>
      <c r="L948" s="218"/>
      <c r="M948" s="218"/>
      <c r="N948" s="218"/>
      <c r="O948" s="218"/>
      <c r="P948" s="218"/>
      <c r="Q948" s="218"/>
    </row>
    <row r="949">
      <c r="A949" s="218"/>
      <c r="B949" s="218"/>
      <c r="C949" s="218"/>
      <c r="D949" s="218"/>
      <c r="E949" s="218"/>
      <c r="F949" s="218"/>
      <c r="G949" s="218"/>
      <c r="H949" s="218"/>
      <c r="I949" s="218"/>
      <c r="J949" s="218"/>
      <c r="K949" s="218"/>
      <c r="L949" s="218"/>
      <c r="M949" s="218"/>
      <c r="N949" s="218"/>
      <c r="O949" s="218"/>
      <c r="P949" s="218"/>
      <c r="Q949" s="218"/>
    </row>
    <row r="950">
      <c r="A950" s="218"/>
      <c r="B950" s="218"/>
      <c r="C950" s="218"/>
      <c r="D950" s="218"/>
      <c r="E950" s="218"/>
      <c r="F950" s="218"/>
      <c r="G950" s="218"/>
      <c r="H950" s="218"/>
      <c r="I950" s="218"/>
      <c r="J950" s="218"/>
      <c r="K950" s="218"/>
      <c r="L950" s="218"/>
      <c r="M950" s="218"/>
      <c r="N950" s="218"/>
      <c r="O950" s="218"/>
      <c r="P950" s="218"/>
      <c r="Q950" s="218"/>
    </row>
    <row r="951">
      <c r="A951" s="218"/>
      <c r="B951" s="218"/>
      <c r="C951" s="218"/>
      <c r="D951" s="218"/>
      <c r="E951" s="218"/>
      <c r="F951" s="218"/>
      <c r="G951" s="218"/>
      <c r="H951" s="218"/>
      <c r="I951" s="218"/>
      <c r="J951" s="218"/>
      <c r="K951" s="218"/>
      <c r="L951" s="218"/>
      <c r="M951" s="218"/>
      <c r="N951" s="218"/>
      <c r="O951" s="218"/>
      <c r="P951" s="218"/>
      <c r="Q951" s="218"/>
    </row>
    <row r="952">
      <c r="A952" s="218"/>
      <c r="B952" s="218"/>
      <c r="C952" s="218"/>
      <c r="D952" s="218"/>
      <c r="E952" s="218"/>
      <c r="F952" s="218"/>
      <c r="G952" s="218"/>
      <c r="H952" s="218"/>
      <c r="I952" s="218"/>
      <c r="J952" s="218"/>
      <c r="K952" s="218"/>
      <c r="L952" s="218"/>
      <c r="M952" s="218"/>
      <c r="N952" s="218"/>
      <c r="O952" s="218"/>
      <c r="P952" s="218"/>
      <c r="Q952" s="218"/>
    </row>
    <row r="953">
      <c r="A953" s="218"/>
      <c r="B953" s="218"/>
      <c r="C953" s="218"/>
      <c r="D953" s="218"/>
      <c r="E953" s="218"/>
      <c r="F953" s="218"/>
      <c r="G953" s="218"/>
      <c r="H953" s="218"/>
      <c r="I953" s="218"/>
      <c r="J953" s="218"/>
      <c r="K953" s="218"/>
      <c r="L953" s="218"/>
      <c r="M953" s="218"/>
      <c r="N953" s="218"/>
      <c r="O953" s="218"/>
      <c r="P953" s="218"/>
      <c r="Q953" s="218"/>
    </row>
    <row r="954">
      <c r="A954" s="218"/>
      <c r="B954" s="218"/>
      <c r="C954" s="218"/>
      <c r="D954" s="218"/>
      <c r="E954" s="218"/>
      <c r="F954" s="218"/>
      <c r="G954" s="218"/>
      <c r="H954" s="218"/>
      <c r="I954" s="218"/>
      <c r="J954" s="218"/>
      <c r="K954" s="218"/>
      <c r="L954" s="218"/>
      <c r="M954" s="218"/>
      <c r="N954" s="218"/>
      <c r="O954" s="218"/>
      <c r="P954" s="218"/>
      <c r="Q954" s="218"/>
    </row>
    <row r="955">
      <c r="A955" s="218"/>
      <c r="B955" s="218"/>
      <c r="C955" s="218"/>
      <c r="D955" s="218"/>
      <c r="E955" s="218"/>
      <c r="F955" s="218"/>
      <c r="G955" s="218"/>
      <c r="H955" s="218"/>
      <c r="I955" s="218"/>
      <c r="J955" s="218"/>
      <c r="K955" s="218"/>
      <c r="L955" s="218"/>
      <c r="M955" s="218"/>
      <c r="N955" s="218"/>
      <c r="O955" s="218"/>
      <c r="P955" s="218"/>
      <c r="Q955" s="218"/>
    </row>
    <row r="956">
      <c r="A956" s="218"/>
      <c r="B956" s="218"/>
      <c r="C956" s="218"/>
      <c r="D956" s="218"/>
      <c r="E956" s="218"/>
      <c r="F956" s="218"/>
      <c r="G956" s="218"/>
      <c r="H956" s="218"/>
      <c r="I956" s="218"/>
      <c r="J956" s="218"/>
      <c r="K956" s="218"/>
      <c r="L956" s="218"/>
      <c r="M956" s="218"/>
      <c r="N956" s="218"/>
      <c r="O956" s="218"/>
      <c r="P956" s="218"/>
      <c r="Q956" s="218"/>
    </row>
    <row r="957">
      <c r="A957" s="218"/>
      <c r="B957" s="218"/>
      <c r="C957" s="218"/>
      <c r="D957" s="218"/>
      <c r="E957" s="218"/>
      <c r="F957" s="218"/>
      <c r="G957" s="218"/>
      <c r="H957" s="218"/>
      <c r="I957" s="218"/>
      <c r="J957" s="218"/>
      <c r="K957" s="218"/>
      <c r="L957" s="218"/>
      <c r="M957" s="218"/>
      <c r="N957" s="218"/>
      <c r="O957" s="218"/>
      <c r="P957" s="218"/>
      <c r="Q957" s="218"/>
    </row>
    <row r="958">
      <c r="A958" s="218"/>
      <c r="B958" s="218"/>
      <c r="C958" s="218"/>
      <c r="D958" s="218"/>
      <c r="E958" s="218"/>
      <c r="F958" s="218"/>
      <c r="G958" s="218"/>
      <c r="H958" s="218"/>
      <c r="I958" s="218"/>
      <c r="J958" s="218"/>
      <c r="K958" s="218"/>
      <c r="L958" s="218"/>
      <c r="M958" s="218"/>
      <c r="N958" s="218"/>
      <c r="O958" s="218"/>
      <c r="P958" s="218"/>
      <c r="Q958" s="218"/>
    </row>
    <row r="959">
      <c r="A959" s="218"/>
      <c r="B959" s="218"/>
      <c r="C959" s="218"/>
      <c r="D959" s="218"/>
      <c r="E959" s="218"/>
      <c r="F959" s="218"/>
      <c r="G959" s="218"/>
      <c r="H959" s="218"/>
      <c r="I959" s="218"/>
      <c r="J959" s="218"/>
      <c r="K959" s="218"/>
      <c r="L959" s="218"/>
      <c r="M959" s="218"/>
      <c r="N959" s="218"/>
      <c r="O959" s="218"/>
      <c r="P959" s="218"/>
      <c r="Q959" s="218"/>
    </row>
    <row r="960">
      <c r="A960" s="218"/>
      <c r="B960" s="218"/>
      <c r="C960" s="218"/>
      <c r="D960" s="218"/>
      <c r="E960" s="218"/>
      <c r="F960" s="218"/>
      <c r="G960" s="218"/>
      <c r="H960" s="218"/>
      <c r="I960" s="218"/>
      <c r="J960" s="218"/>
      <c r="K960" s="218"/>
      <c r="L960" s="218"/>
      <c r="M960" s="218"/>
      <c r="N960" s="218"/>
      <c r="O960" s="218"/>
      <c r="P960" s="218"/>
      <c r="Q960" s="218"/>
    </row>
    <row r="961">
      <c r="A961" s="218"/>
      <c r="B961" s="218"/>
      <c r="C961" s="218"/>
      <c r="D961" s="218"/>
      <c r="E961" s="218"/>
      <c r="F961" s="218"/>
      <c r="G961" s="218"/>
      <c r="H961" s="218"/>
      <c r="I961" s="218"/>
      <c r="J961" s="218"/>
      <c r="K961" s="218"/>
      <c r="L961" s="218"/>
      <c r="M961" s="218"/>
      <c r="N961" s="218"/>
      <c r="O961" s="218"/>
      <c r="P961" s="218"/>
      <c r="Q961" s="218"/>
    </row>
    <row r="962">
      <c r="A962" s="218"/>
      <c r="B962" s="218"/>
      <c r="C962" s="218"/>
      <c r="D962" s="218"/>
      <c r="E962" s="218"/>
      <c r="F962" s="218"/>
      <c r="G962" s="218"/>
      <c r="H962" s="218"/>
      <c r="I962" s="218"/>
      <c r="J962" s="218"/>
      <c r="K962" s="218"/>
      <c r="L962" s="218"/>
      <c r="M962" s="218"/>
      <c r="N962" s="218"/>
      <c r="O962" s="218"/>
      <c r="P962" s="218"/>
      <c r="Q962" s="218"/>
    </row>
    <row r="963">
      <c r="A963" s="218"/>
      <c r="B963" s="218"/>
      <c r="C963" s="218"/>
      <c r="D963" s="218"/>
      <c r="E963" s="218"/>
      <c r="F963" s="218"/>
      <c r="G963" s="218"/>
      <c r="H963" s="218"/>
      <c r="I963" s="218"/>
      <c r="J963" s="218"/>
      <c r="K963" s="218"/>
      <c r="L963" s="218"/>
      <c r="M963" s="218"/>
      <c r="N963" s="218"/>
      <c r="O963" s="218"/>
      <c r="P963" s="218"/>
      <c r="Q963" s="218"/>
    </row>
    <row r="964">
      <c r="A964" s="218"/>
      <c r="B964" s="218"/>
      <c r="C964" s="218"/>
      <c r="D964" s="218"/>
      <c r="E964" s="218"/>
      <c r="F964" s="218"/>
      <c r="G964" s="218"/>
      <c r="H964" s="218"/>
      <c r="I964" s="218"/>
      <c r="J964" s="218"/>
      <c r="K964" s="218"/>
      <c r="L964" s="218"/>
      <c r="M964" s="218"/>
      <c r="N964" s="218"/>
      <c r="O964" s="218"/>
      <c r="P964" s="218"/>
      <c r="Q964" s="218"/>
    </row>
    <row r="965">
      <c r="A965" s="218"/>
      <c r="B965" s="218"/>
      <c r="C965" s="218"/>
      <c r="D965" s="218"/>
      <c r="E965" s="218"/>
      <c r="F965" s="218"/>
      <c r="G965" s="218"/>
      <c r="H965" s="218"/>
      <c r="I965" s="218"/>
      <c r="J965" s="218"/>
      <c r="K965" s="218"/>
      <c r="L965" s="218"/>
      <c r="M965" s="218"/>
      <c r="N965" s="218"/>
      <c r="O965" s="218"/>
      <c r="P965" s="218"/>
      <c r="Q965" s="218"/>
    </row>
    <row r="966">
      <c r="A966" s="218"/>
      <c r="B966" s="218"/>
      <c r="C966" s="218"/>
      <c r="D966" s="218"/>
      <c r="E966" s="218"/>
      <c r="F966" s="218"/>
      <c r="G966" s="218"/>
      <c r="H966" s="218"/>
      <c r="I966" s="218"/>
      <c r="J966" s="218"/>
      <c r="K966" s="218"/>
      <c r="L966" s="218"/>
      <c r="M966" s="218"/>
      <c r="N966" s="218"/>
      <c r="O966" s="218"/>
      <c r="P966" s="218"/>
      <c r="Q966" s="218"/>
    </row>
    <row r="967">
      <c r="A967" s="218"/>
      <c r="B967" s="218"/>
      <c r="C967" s="218"/>
      <c r="D967" s="218"/>
      <c r="E967" s="218"/>
      <c r="F967" s="218"/>
      <c r="G967" s="218"/>
      <c r="H967" s="218"/>
      <c r="I967" s="218"/>
      <c r="J967" s="218"/>
      <c r="K967" s="218"/>
      <c r="L967" s="218"/>
      <c r="M967" s="218"/>
      <c r="N967" s="218"/>
      <c r="O967" s="218"/>
      <c r="P967" s="218"/>
      <c r="Q967" s="218"/>
    </row>
    <row r="968">
      <c r="A968" s="218"/>
      <c r="B968" s="218"/>
      <c r="C968" s="218"/>
      <c r="D968" s="218"/>
      <c r="E968" s="218"/>
      <c r="F968" s="218"/>
      <c r="G968" s="218"/>
      <c r="H968" s="218"/>
      <c r="I968" s="218"/>
      <c r="J968" s="218"/>
      <c r="K968" s="218"/>
      <c r="L968" s="218"/>
      <c r="M968" s="218"/>
      <c r="N968" s="218"/>
      <c r="O968" s="218"/>
      <c r="P968" s="218"/>
      <c r="Q968" s="218"/>
    </row>
    <row r="969">
      <c r="A969" s="218"/>
      <c r="B969" s="218"/>
      <c r="C969" s="218"/>
      <c r="D969" s="218"/>
      <c r="E969" s="218"/>
      <c r="F969" s="218"/>
      <c r="G969" s="218"/>
      <c r="H969" s="218"/>
      <c r="I969" s="218"/>
      <c r="J969" s="218"/>
      <c r="K969" s="218"/>
      <c r="L969" s="218"/>
      <c r="M969" s="218"/>
      <c r="N969" s="218"/>
      <c r="O969" s="218"/>
      <c r="P969" s="218"/>
      <c r="Q969" s="218"/>
    </row>
    <row r="970">
      <c r="A970" s="218"/>
      <c r="B970" s="218"/>
      <c r="C970" s="218"/>
      <c r="D970" s="218"/>
      <c r="E970" s="218"/>
      <c r="F970" s="218"/>
      <c r="G970" s="218"/>
      <c r="H970" s="218"/>
      <c r="I970" s="218"/>
      <c r="J970" s="218"/>
      <c r="K970" s="218"/>
      <c r="L970" s="218"/>
      <c r="M970" s="218"/>
      <c r="N970" s="218"/>
      <c r="O970" s="218"/>
      <c r="P970" s="218"/>
      <c r="Q970" s="218"/>
    </row>
    <row r="971">
      <c r="A971" s="218"/>
      <c r="B971" s="218"/>
      <c r="C971" s="218"/>
      <c r="D971" s="218"/>
      <c r="E971" s="218"/>
      <c r="F971" s="218"/>
      <c r="G971" s="218"/>
      <c r="H971" s="218"/>
      <c r="I971" s="218"/>
      <c r="J971" s="218"/>
      <c r="K971" s="218"/>
      <c r="L971" s="218"/>
      <c r="M971" s="218"/>
      <c r="N971" s="218"/>
      <c r="O971" s="218"/>
      <c r="P971" s="218"/>
      <c r="Q971" s="218"/>
    </row>
    <row r="972">
      <c r="A972" s="218"/>
      <c r="B972" s="218"/>
      <c r="C972" s="218"/>
      <c r="D972" s="218"/>
      <c r="E972" s="218"/>
      <c r="F972" s="218"/>
      <c r="G972" s="218"/>
      <c r="H972" s="218"/>
      <c r="I972" s="218"/>
      <c r="J972" s="218"/>
      <c r="K972" s="218"/>
      <c r="L972" s="218"/>
      <c r="M972" s="218"/>
      <c r="N972" s="218"/>
      <c r="O972" s="218"/>
      <c r="P972" s="218"/>
      <c r="Q972" s="218"/>
    </row>
    <row r="973">
      <c r="A973" s="218"/>
      <c r="B973" s="218"/>
      <c r="C973" s="218"/>
      <c r="D973" s="218"/>
      <c r="E973" s="218"/>
      <c r="F973" s="218"/>
      <c r="G973" s="218"/>
      <c r="H973" s="218"/>
      <c r="I973" s="218"/>
      <c r="J973" s="218"/>
      <c r="K973" s="218"/>
      <c r="L973" s="218"/>
      <c r="M973" s="218"/>
      <c r="N973" s="218"/>
      <c r="O973" s="218"/>
      <c r="P973" s="218"/>
      <c r="Q973" s="218"/>
    </row>
    <row r="974">
      <c r="A974" s="218"/>
      <c r="B974" s="218"/>
      <c r="C974" s="218"/>
      <c r="D974" s="218"/>
      <c r="E974" s="218"/>
      <c r="F974" s="218"/>
      <c r="G974" s="218"/>
      <c r="H974" s="218"/>
      <c r="I974" s="218"/>
      <c r="J974" s="218"/>
      <c r="K974" s="218"/>
      <c r="L974" s="218"/>
      <c r="M974" s="218"/>
      <c r="N974" s="218"/>
      <c r="O974" s="218"/>
      <c r="P974" s="218"/>
      <c r="Q974" s="218"/>
    </row>
    <row r="975">
      <c r="A975" s="218"/>
      <c r="B975" s="218"/>
      <c r="C975" s="218"/>
      <c r="D975" s="218"/>
      <c r="E975" s="218"/>
      <c r="F975" s="218"/>
      <c r="G975" s="218"/>
      <c r="H975" s="218"/>
      <c r="I975" s="218"/>
      <c r="J975" s="218"/>
      <c r="K975" s="218"/>
      <c r="L975" s="218"/>
      <c r="M975" s="218"/>
      <c r="N975" s="218"/>
      <c r="O975" s="218"/>
      <c r="P975" s="218"/>
      <c r="Q975" s="218"/>
    </row>
    <row r="976">
      <c r="A976" s="218"/>
      <c r="B976" s="218"/>
      <c r="C976" s="218"/>
      <c r="D976" s="218"/>
      <c r="E976" s="218"/>
      <c r="F976" s="218"/>
      <c r="G976" s="218"/>
      <c r="H976" s="218"/>
      <c r="I976" s="218"/>
      <c r="J976" s="218"/>
      <c r="K976" s="218"/>
      <c r="L976" s="218"/>
      <c r="M976" s="218"/>
      <c r="N976" s="218"/>
      <c r="O976" s="218"/>
      <c r="P976" s="218"/>
      <c r="Q976" s="218"/>
    </row>
    <row r="977">
      <c r="A977" s="218"/>
      <c r="B977" s="218"/>
      <c r="C977" s="218"/>
      <c r="D977" s="218"/>
      <c r="E977" s="218"/>
      <c r="F977" s="218"/>
      <c r="G977" s="218"/>
      <c r="H977" s="218"/>
      <c r="I977" s="218"/>
      <c r="J977" s="218"/>
      <c r="K977" s="218"/>
      <c r="L977" s="218"/>
      <c r="M977" s="218"/>
      <c r="N977" s="218"/>
      <c r="O977" s="218"/>
      <c r="P977" s="218"/>
      <c r="Q977" s="218"/>
    </row>
    <row r="978">
      <c r="A978" s="218"/>
      <c r="B978" s="218"/>
      <c r="C978" s="218"/>
      <c r="D978" s="218"/>
      <c r="E978" s="218"/>
      <c r="F978" s="218"/>
      <c r="G978" s="218"/>
      <c r="H978" s="218"/>
      <c r="I978" s="218"/>
      <c r="J978" s="218"/>
      <c r="K978" s="218"/>
      <c r="L978" s="218"/>
      <c r="M978" s="218"/>
      <c r="N978" s="218"/>
      <c r="O978" s="218"/>
      <c r="P978" s="218"/>
      <c r="Q978" s="218"/>
    </row>
    <row r="979">
      <c r="A979" s="218"/>
      <c r="B979" s="218"/>
      <c r="C979" s="218"/>
      <c r="D979" s="218"/>
      <c r="E979" s="218"/>
      <c r="F979" s="218"/>
      <c r="G979" s="218"/>
      <c r="H979" s="218"/>
      <c r="I979" s="218"/>
      <c r="J979" s="218"/>
      <c r="K979" s="218"/>
      <c r="L979" s="218"/>
      <c r="M979" s="218"/>
      <c r="N979" s="218"/>
      <c r="O979" s="218"/>
      <c r="P979" s="218"/>
      <c r="Q979" s="218"/>
    </row>
    <row r="980">
      <c r="A980" s="218"/>
      <c r="B980" s="218"/>
      <c r="C980" s="218"/>
      <c r="D980" s="218"/>
      <c r="E980" s="218"/>
      <c r="F980" s="218"/>
      <c r="G980" s="218"/>
      <c r="H980" s="218"/>
      <c r="I980" s="218"/>
      <c r="J980" s="218"/>
      <c r="K980" s="218"/>
      <c r="L980" s="218"/>
      <c r="M980" s="218"/>
      <c r="N980" s="218"/>
      <c r="O980" s="218"/>
      <c r="P980" s="218"/>
      <c r="Q980" s="218"/>
    </row>
    <row r="981">
      <c r="A981" s="218"/>
      <c r="B981" s="218"/>
      <c r="C981" s="218"/>
      <c r="D981" s="218"/>
      <c r="E981" s="218"/>
      <c r="F981" s="218"/>
      <c r="G981" s="218"/>
      <c r="H981" s="218"/>
      <c r="I981" s="218"/>
      <c r="J981" s="218"/>
      <c r="K981" s="218"/>
      <c r="L981" s="218"/>
      <c r="M981" s="218"/>
      <c r="N981" s="218"/>
      <c r="O981" s="218"/>
      <c r="P981" s="218"/>
      <c r="Q981" s="218"/>
    </row>
    <row r="982">
      <c r="A982" s="218"/>
      <c r="B982" s="218"/>
      <c r="C982" s="218"/>
      <c r="D982" s="218"/>
      <c r="E982" s="218"/>
      <c r="F982" s="218"/>
      <c r="G982" s="218"/>
      <c r="H982" s="218"/>
      <c r="I982" s="218"/>
      <c r="J982" s="218"/>
      <c r="K982" s="218"/>
      <c r="L982" s="218"/>
      <c r="M982" s="218"/>
      <c r="N982" s="218"/>
      <c r="O982" s="218"/>
      <c r="P982" s="218"/>
      <c r="Q982" s="218"/>
    </row>
    <row r="983">
      <c r="A983" s="218"/>
      <c r="B983" s="218"/>
      <c r="C983" s="218"/>
      <c r="D983" s="218"/>
      <c r="E983" s="218"/>
      <c r="F983" s="218"/>
      <c r="G983" s="218"/>
      <c r="H983" s="218"/>
      <c r="I983" s="218"/>
      <c r="J983" s="218"/>
      <c r="K983" s="218"/>
      <c r="L983" s="218"/>
      <c r="M983" s="218"/>
      <c r="N983" s="218"/>
      <c r="O983" s="218"/>
      <c r="P983" s="218"/>
      <c r="Q983" s="218"/>
    </row>
    <row r="984">
      <c r="A984" s="218"/>
      <c r="B984" s="218"/>
      <c r="C984" s="218"/>
      <c r="D984" s="218"/>
      <c r="E984" s="218"/>
      <c r="F984" s="218"/>
      <c r="G984" s="218"/>
      <c r="H984" s="218"/>
      <c r="I984" s="218"/>
      <c r="J984" s="218"/>
      <c r="K984" s="218"/>
      <c r="L984" s="218"/>
      <c r="M984" s="218"/>
      <c r="N984" s="218"/>
      <c r="O984" s="218"/>
      <c r="P984" s="218"/>
      <c r="Q984" s="218"/>
    </row>
    <row r="985">
      <c r="A985" s="218"/>
      <c r="B985" s="218"/>
      <c r="C985" s="218"/>
      <c r="D985" s="218"/>
      <c r="E985" s="218"/>
      <c r="F985" s="218"/>
      <c r="G985" s="218"/>
      <c r="H985" s="218"/>
      <c r="I985" s="218"/>
      <c r="J985" s="218"/>
      <c r="K985" s="218"/>
      <c r="L985" s="218"/>
      <c r="M985" s="218"/>
      <c r="N985" s="218"/>
      <c r="O985" s="218"/>
      <c r="P985" s="218"/>
      <c r="Q985" s="218"/>
    </row>
    <row r="986">
      <c r="A986" s="218"/>
      <c r="B986" s="218"/>
      <c r="C986" s="218"/>
      <c r="D986" s="218"/>
      <c r="E986" s="218"/>
      <c r="F986" s="218"/>
      <c r="G986" s="218"/>
      <c r="H986" s="218"/>
      <c r="I986" s="218"/>
      <c r="J986" s="218"/>
      <c r="K986" s="218"/>
      <c r="L986" s="218"/>
      <c r="M986" s="218"/>
      <c r="N986" s="218"/>
      <c r="O986" s="218"/>
      <c r="P986" s="218"/>
      <c r="Q986" s="218"/>
    </row>
    <row r="987">
      <c r="A987" s="218"/>
      <c r="B987" s="218"/>
      <c r="C987" s="218"/>
      <c r="D987" s="218"/>
      <c r="E987" s="218"/>
      <c r="F987" s="218"/>
      <c r="G987" s="218"/>
      <c r="H987" s="218"/>
      <c r="I987" s="218"/>
      <c r="J987" s="218"/>
      <c r="K987" s="218"/>
      <c r="L987" s="218"/>
      <c r="M987" s="218"/>
      <c r="N987" s="218"/>
      <c r="O987" s="218"/>
      <c r="P987" s="218"/>
      <c r="Q987" s="218"/>
    </row>
    <row r="988">
      <c r="A988" s="218"/>
      <c r="B988" s="218"/>
      <c r="C988" s="218"/>
      <c r="D988" s="218"/>
      <c r="E988" s="218"/>
      <c r="F988" s="218"/>
      <c r="G988" s="218"/>
      <c r="H988" s="218"/>
      <c r="I988" s="218"/>
      <c r="J988" s="218"/>
      <c r="K988" s="218"/>
      <c r="L988" s="218"/>
      <c r="M988" s="218"/>
      <c r="N988" s="218"/>
      <c r="O988" s="218"/>
      <c r="P988" s="218"/>
      <c r="Q988" s="218"/>
    </row>
    <row r="989">
      <c r="A989" s="218"/>
      <c r="B989" s="218"/>
      <c r="C989" s="218"/>
      <c r="D989" s="218"/>
      <c r="E989" s="218"/>
      <c r="F989" s="218"/>
      <c r="G989" s="218"/>
      <c r="H989" s="218"/>
      <c r="I989" s="218"/>
      <c r="J989" s="218"/>
      <c r="K989" s="218"/>
      <c r="L989" s="218"/>
      <c r="M989" s="218"/>
      <c r="N989" s="218"/>
      <c r="O989" s="218"/>
      <c r="P989" s="218"/>
      <c r="Q989" s="218"/>
    </row>
    <row r="990">
      <c r="A990" s="218"/>
      <c r="B990" s="218"/>
      <c r="C990" s="218"/>
      <c r="D990" s="218"/>
      <c r="E990" s="218"/>
      <c r="F990" s="218"/>
      <c r="G990" s="218"/>
      <c r="H990" s="218"/>
      <c r="I990" s="218"/>
      <c r="J990" s="218"/>
      <c r="K990" s="218"/>
      <c r="L990" s="218"/>
      <c r="M990" s="218"/>
      <c r="N990" s="218"/>
      <c r="O990" s="218"/>
      <c r="P990" s="218"/>
      <c r="Q990" s="218"/>
    </row>
    <row r="991">
      <c r="A991" s="218"/>
      <c r="B991" s="218"/>
      <c r="C991" s="218"/>
      <c r="D991" s="218"/>
      <c r="E991" s="218"/>
      <c r="F991" s="218"/>
      <c r="G991" s="218"/>
      <c r="H991" s="218"/>
      <c r="I991" s="218"/>
      <c r="J991" s="218"/>
      <c r="K991" s="218"/>
      <c r="L991" s="218"/>
      <c r="M991" s="218"/>
      <c r="N991" s="218"/>
      <c r="O991" s="218"/>
      <c r="P991" s="218"/>
      <c r="Q991" s="218"/>
    </row>
    <row r="992">
      <c r="A992" s="218"/>
      <c r="B992" s="218"/>
      <c r="C992" s="218"/>
      <c r="D992" s="218"/>
      <c r="E992" s="218"/>
      <c r="F992" s="218"/>
      <c r="G992" s="218"/>
      <c r="H992" s="218"/>
      <c r="I992" s="218"/>
      <c r="J992" s="218"/>
      <c r="K992" s="218"/>
      <c r="L992" s="218"/>
      <c r="M992" s="218"/>
      <c r="N992" s="218"/>
      <c r="O992" s="218"/>
      <c r="P992" s="218"/>
      <c r="Q992" s="218"/>
    </row>
    <row r="993">
      <c r="A993" s="218"/>
      <c r="B993" s="218"/>
      <c r="C993" s="218"/>
      <c r="D993" s="218"/>
      <c r="E993" s="218"/>
      <c r="F993" s="218"/>
      <c r="G993" s="218"/>
      <c r="H993" s="218"/>
      <c r="I993" s="218"/>
      <c r="J993" s="218"/>
      <c r="K993" s="218"/>
      <c r="L993" s="218"/>
      <c r="M993" s="218"/>
      <c r="N993" s="218"/>
      <c r="O993" s="218"/>
      <c r="P993" s="218"/>
      <c r="Q993" s="218"/>
    </row>
    <row r="994">
      <c r="A994" s="218"/>
      <c r="B994" s="218"/>
      <c r="C994" s="218"/>
      <c r="D994" s="218"/>
      <c r="E994" s="218"/>
      <c r="F994" s="218"/>
      <c r="G994" s="218"/>
      <c r="H994" s="218"/>
      <c r="I994" s="218"/>
      <c r="J994" s="218"/>
      <c r="K994" s="218"/>
      <c r="L994" s="218"/>
      <c r="M994" s="218"/>
      <c r="N994" s="218"/>
      <c r="O994" s="218"/>
      <c r="P994" s="218"/>
      <c r="Q994" s="218"/>
    </row>
    <row r="995">
      <c r="A995" s="218"/>
      <c r="B995" s="218"/>
      <c r="C995" s="218"/>
      <c r="D995" s="218"/>
      <c r="E995" s="218"/>
      <c r="F995" s="218"/>
      <c r="G995" s="218"/>
      <c r="H995" s="218"/>
      <c r="I995" s="218"/>
      <c r="J995" s="218"/>
      <c r="K995" s="218"/>
      <c r="L995" s="218"/>
      <c r="M995" s="218"/>
      <c r="N995" s="218"/>
      <c r="O995" s="218"/>
      <c r="P995" s="218"/>
      <c r="Q995" s="218"/>
    </row>
    <row r="996">
      <c r="A996" s="218"/>
      <c r="B996" s="218"/>
      <c r="C996" s="218"/>
      <c r="D996" s="218"/>
      <c r="E996" s="218"/>
      <c r="F996" s="218"/>
      <c r="G996" s="218"/>
      <c r="H996" s="218"/>
      <c r="I996" s="218"/>
      <c r="J996" s="218"/>
      <c r="K996" s="218"/>
      <c r="L996" s="218"/>
      <c r="M996" s="218"/>
      <c r="N996" s="218"/>
      <c r="O996" s="218"/>
      <c r="P996" s="218"/>
      <c r="Q996" s="218"/>
    </row>
    <row r="997">
      <c r="A997" s="218"/>
      <c r="B997" s="218"/>
      <c r="C997" s="218"/>
      <c r="D997" s="218"/>
      <c r="E997" s="218"/>
      <c r="F997" s="218"/>
      <c r="G997" s="218"/>
      <c r="H997" s="218"/>
      <c r="I997" s="218"/>
      <c r="J997" s="218"/>
      <c r="K997" s="218"/>
      <c r="L997" s="218"/>
      <c r="M997" s="218"/>
      <c r="N997" s="218"/>
      <c r="O997" s="218"/>
      <c r="P997" s="218"/>
      <c r="Q997" s="218"/>
    </row>
    <row r="998">
      <c r="A998" s="218"/>
      <c r="B998" s="218"/>
      <c r="C998" s="218"/>
      <c r="D998" s="218"/>
      <c r="E998" s="218"/>
      <c r="F998" s="218"/>
      <c r="G998" s="218"/>
      <c r="H998" s="218"/>
      <c r="I998" s="218"/>
      <c r="J998" s="218"/>
      <c r="K998" s="218"/>
      <c r="L998" s="218"/>
      <c r="M998" s="218"/>
      <c r="N998" s="218"/>
      <c r="O998" s="218"/>
      <c r="P998" s="218"/>
      <c r="Q998" s="218"/>
    </row>
    <row r="999">
      <c r="A999" s="218"/>
      <c r="B999" s="218"/>
      <c r="C999" s="218"/>
      <c r="D999" s="218"/>
      <c r="E999" s="218"/>
      <c r="F999" s="218"/>
      <c r="G999" s="218"/>
      <c r="H999" s="218"/>
      <c r="I999" s="218"/>
      <c r="J999" s="218"/>
      <c r="K999" s="218"/>
      <c r="L999" s="218"/>
      <c r="M999" s="218"/>
      <c r="N999" s="218"/>
      <c r="O999" s="218"/>
      <c r="P999" s="218"/>
      <c r="Q999" s="218"/>
    </row>
    <row r="1000">
      <c r="A1000" s="218"/>
      <c r="B1000" s="218"/>
      <c r="C1000" s="218"/>
      <c r="D1000" s="218"/>
      <c r="E1000" s="218"/>
      <c r="F1000" s="218"/>
      <c r="G1000" s="218"/>
      <c r="H1000" s="218"/>
      <c r="I1000" s="218"/>
      <c r="J1000" s="218"/>
      <c r="K1000" s="218"/>
      <c r="L1000" s="218"/>
      <c r="M1000" s="218"/>
      <c r="N1000" s="218"/>
      <c r="O1000" s="218"/>
      <c r="P1000" s="218"/>
      <c r="Q1000" s="218"/>
    </row>
    <row r="1001">
      <c r="A1001" s="218"/>
      <c r="B1001" s="218"/>
      <c r="C1001" s="218"/>
      <c r="D1001" s="218"/>
      <c r="E1001" s="218"/>
      <c r="F1001" s="218"/>
      <c r="G1001" s="218"/>
      <c r="H1001" s="218"/>
      <c r="I1001" s="218"/>
      <c r="J1001" s="218"/>
      <c r="K1001" s="218"/>
      <c r="L1001" s="218"/>
      <c r="M1001" s="218"/>
      <c r="N1001" s="218"/>
      <c r="O1001" s="218"/>
      <c r="P1001" s="218"/>
      <c r="Q1001" s="218"/>
    </row>
    <row r="1002">
      <c r="A1002" s="218"/>
      <c r="B1002" s="218"/>
      <c r="C1002" s="218"/>
      <c r="D1002" s="218"/>
      <c r="E1002" s="218"/>
      <c r="F1002" s="218"/>
      <c r="G1002" s="218"/>
      <c r="H1002" s="218"/>
      <c r="I1002" s="218"/>
      <c r="J1002" s="218"/>
      <c r="K1002" s="218"/>
      <c r="L1002" s="218"/>
      <c r="M1002" s="218"/>
      <c r="N1002" s="218"/>
      <c r="O1002" s="218"/>
      <c r="P1002" s="218"/>
      <c r="Q1002" s="218"/>
    </row>
  </sheetData>
  <mergeCells count="14">
    <mergeCell ref="C120:O135"/>
    <mergeCell ref="C137:O152"/>
    <mergeCell ref="C154:O169"/>
    <mergeCell ref="C171:O186"/>
    <mergeCell ref="C188:O203"/>
    <mergeCell ref="C205:O220"/>
    <mergeCell ref="C222:O237"/>
    <mergeCell ref="C11:G13"/>
    <mergeCell ref="C18:O33"/>
    <mergeCell ref="C35:O50"/>
    <mergeCell ref="C52:O67"/>
    <mergeCell ref="C69:O84"/>
    <mergeCell ref="C86:O101"/>
    <mergeCell ref="C103:O118"/>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4.0" topLeftCell="A5" activePane="bottomLeft" state="frozen"/>
      <selection activeCell="B6" sqref="B6" pane="bottomLeft"/>
    </sheetView>
  </sheetViews>
  <sheetFormatPr customHeight="1" defaultColWidth="12.63" defaultRowHeight="15.75"/>
  <cols>
    <col customWidth="1" min="5" max="5" width="3.5"/>
    <col customWidth="1" min="6" max="15" width="13.75"/>
  </cols>
  <sheetData>
    <row r="1">
      <c r="A1" s="440"/>
      <c r="B1" s="440"/>
      <c r="C1" s="440"/>
      <c r="D1" s="440"/>
      <c r="E1" s="440"/>
      <c r="F1" s="440"/>
      <c r="G1" s="440"/>
      <c r="H1" s="440"/>
      <c r="I1" s="440"/>
      <c r="J1" s="440"/>
      <c r="K1" s="440"/>
      <c r="L1" s="440"/>
      <c r="M1" s="440"/>
      <c r="N1" s="440"/>
      <c r="O1" s="440"/>
      <c r="P1" s="440"/>
    </row>
    <row r="2">
      <c r="A2" s="567" t="s">
        <v>570</v>
      </c>
      <c r="B2" s="568" t="s">
        <v>571</v>
      </c>
      <c r="C2" s="445"/>
      <c r="D2" s="445"/>
      <c r="E2" s="445"/>
      <c r="F2" s="445"/>
      <c r="G2" s="446"/>
      <c r="H2" s="440"/>
      <c r="I2" s="440"/>
      <c r="J2" s="440"/>
      <c r="K2" s="440"/>
      <c r="L2" s="440"/>
      <c r="M2" s="440"/>
      <c r="N2" s="440"/>
      <c r="O2" s="440"/>
      <c r="P2" s="440"/>
    </row>
    <row r="3" ht="18.0" customHeight="1">
      <c r="A3" s="447"/>
      <c r="B3" s="448"/>
      <c r="C3" s="387"/>
      <c r="D3" s="387"/>
      <c r="E3" s="387"/>
      <c r="F3" s="387"/>
      <c r="G3" s="388"/>
      <c r="H3" s="440"/>
      <c r="I3" s="440"/>
      <c r="J3" s="440"/>
      <c r="K3" s="440"/>
      <c r="L3" s="440"/>
      <c r="M3" s="440"/>
      <c r="N3" s="569" t="s">
        <v>572</v>
      </c>
      <c r="O3" s="570" t="str">
        <f>'🤝 Client information'!O185</f>
        <v/>
      </c>
      <c r="P3" s="571"/>
    </row>
    <row r="4">
      <c r="A4" s="572"/>
      <c r="B4" s="572"/>
      <c r="C4" s="572"/>
      <c r="D4" s="440"/>
      <c r="E4" s="440"/>
      <c r="F4" s="440"/>
      <c r="G4" s="440"/>
      <c r="H4" s="440"/>
      <c r="I4" s="440"/>
      <c r="J4" s="440"/>
      <c r="K4" s="440"/>
      <c r="L4" s="440"/>
      <c r="M4" s="440"/>
      <c r="N4" s="440"/>
      <c r="O4" s="440"/>
      <c r="P4" s="440"/>
    </row>
    <row r="5">
      <c r="A5" s="19"/>
      <c r="B5" s="19"/>
      <c r="C5" s="19"/>
      <c r="D5" s="19"/>
      <c r="E5" s="19"/>
      <c r="F5" s="19"/>
      <c r="G5" s="19"/>
      <c r="H5" s="19"/>
      <c r="I5" s="19"/>
      <c r="J5" s="19"/>
      <c r="K5" s="19"/>
      <c r="L5" s="19"/>
      <c r="M5" s="19"/>
      <c r="N5" s="19"/>
      <c r="O5" s="19"/>
      <c r="P5" s="19"/>
    </row>
    <row r="6">
      <c r="A6" s="19"/>
      <c r="B6" s="19"/>
      <c r="C6" s="19"/>
      <c r="D6" s="573" t="s">
        <v>573</v>
      </c>
      <c r="E6" s="58"/>
      <c r="F6" s="574" t="str">
        <f>'🤝 Client information'!C80</f>
        <v/>
      </c>
      <c r="G6" s="575"/>
      <c r="H6" s="575"/>
      <c r="I6" s="575"/>
      <c r="J6" s="575"/>
      <c r="K6" s="575"/>
      <c r="L6" s="575"/>
      <c r="M6" s="575"/>
      <c r="N6" s="575"/>
      <c r="O6" s="575"/>
      <c r="P6" s="576"/>
    </row>
    <row r="7">
      <c r="A7" s="317"/>
      <c r="B7" s="317"/>
      <c r="C7" s="317"/>
      <c r="D7" s="577"/>
      <c r="E7" s="27"/>
      <c r="F7" s="578" t="s">
        <v>574</v>
      </c>
      <c r="G7" s="579" t="str">
        <f>'🤝 Client information'!O187</f>
        <v/>
      </c>
      <c r="H7" s="27"/>
      <c r="J7" s="578" t="s">
        <v>575</v>
      </c>
      <c r="K7" s="579" t="str">
        <f>'🤝 Client information'!O188</f>
        <v/>
      </c>
      <c r="L7" s="27"/>
      <c r="N7" s="578" t="s">
        <v>576</v>
      </c>
      <c r="O7" s="579" t="str">
        <f>'🤝 Client information'!O186</f>
        <v/>
      </c>
      <c r="P7" s="27"/>
    </row>
    <row r="8">
      <c r="A8" s="317"/>
      <c r="B8" s="317"/>
      <c r="C8" s="317"/>
      <c r="D8" s="580" t="s">
        <v>577</v>
      </c>
      <c r="E8" s="27"/>
      <c r="F8" s="581" t="str">
        <f>'🤝 Client information'!O191</f>
        <v/>
      </c>
      <c r="G8" s="575"/>
      <c r="H8" s="575"/>
      <c r="I8" s="575"/>
      <c r="J8" s="575"/>
      <c r="K8" s="575"/>
      <c r="L8" s="575"/>
      <c r="M8" s="575"/>
      <c r="N8" s="575"/>
      <c r="O8" s="575"/>
      <c r="P8" s="27"/>
    </row>
    <row r="9">
      <c r="A9" s="317"/>
      <c r="B9" s="317"/>
      <c r="C9" s="317"/>
      <c r="D9" s="580" t="s">
        <v>578</v>
      </c>
      <c r="E9" s="27"/>
      <c r="F9" s="582" t="str">
        <f>'🤝 Client information'!O189</f>
        <v/>
      </c>
      <c r="G9" s="583"/>
      <c r="H9" s="583"/>
      <c r="I9" s="583"/>
      <c r="J9" s="583"/>
      <c r="K9" s="583"/>
      <c r="L9" s="583"/>
      <c r="M9" s="583"/>
      <c r="N9" s="583"/>
      <c r="O9" s="583"/>
      <c r="P9" s="27"/>
    </row>
    <row r="10">
      <c r="A10" s="317"/>
      <c r="B10" s="317"/>
      <c r="C10" s="317"/>
      <c r="D10" s="580" t="s">
        <v>579</v>
      </c>
      <c r="E10" s="27"/>
      <c r="F10" s="584" t="str">
        <f>'🤝 Client information'!O190</f>
        <v/>
      </c>
      <c r="G10" s="585"/>
      <c r="H10" s="585"/>
      <c r="I10" s="585"/>
      <c r="J10" s="585"/>
      <c r="K10" s="585"/>
      <c r="L10" s="585"/>
      <c r="M10" s="585"/>
      <c r="N10" s="585"/>
      <c r="O10" s="585"/>
      <c r="P10" s="27"/>
    </row>
    <row r="11">
      <c r="A11" s="317"/>
      <c r="B11" s="317"/>
      <c r="C11" s="317"/>
      <c r="D11" s="580" t="s">
        <v>580</v>
      </c>
      <c r="E11" s="27"/>
      <c r="F11" s="316" t="str">
        <f>'🤝 Client information'!J194</f>
        <v>teambackoffice.skipr+...@smartelia.com</v>
      </c>
      <c r="G11" s="316"/>
      <c r="H11" s="316"/>
      <c r="I11" s="316"/>
      <c r="J11" s="316"/>
      <c r="K11" s="316"/>
      <c r="L11" s="316"/>
      <c r="M11" s="316"/>
      <c r="N11" s="316"/>
      <c r="O11" s="316"/>
      <c r="P11" s="27"/>
    </row>
    <row r="12">
      <c r="A12" s="27"/>
      <c r="B12" s="27"/>
      <c r="C12" s="27"/>
      <c r="D12" s="580" t="s">
        <v>581</v>
      </c>
      <c r="E12" s="58"/>
      <c r="F12" s="586" t="str">
        <f>'🚀 Mobility program(s)'!M109</f>
        <v/>
      </c>
      <c r="G12" s="587"/>
      <c r="H12" s="587"/>
      <c r="I12" s="587"/>
      <c r="J12" s="587"/>
      <c r="K12" s="587"/>
      <c r="L12" s="587"/>
      <c r="M12" s="587"/>
      <c r="N12" s="587"/>
      <c r="O12" s="587"/>
      <c r="P12" s="57"/>
    </row>
    <row r="13">
      <c r="A13" s="27"/>
      <c r="B13" s="27"/>
      <c r="C13" s="27"/>
      <c r="D13" s="580" t="s">
        <v>582</v>
      </c>
      <c r="E13" s="58"/>
      <c r="F13" s="588" t="str">
        <f>'🤝 Client information'!E193</f>
        <v/>
      </c>
      <c r="G13" s="589"/>
      <c r="H13" s="589"/>
      <c r="I13" s="589"/>
      <c r="J13" s="589"/>
      <c r="K13" s="589"/>
      <c r="L13" s="589"/>
      <c r="M13" s="589"/>
      <c r="N13" s="589"/>
      <c r="O13" s="590"/>
      <c r="P13" s="57"/>
    </row>
    <row r="14">
      <c r="A14" s="27"/>
      <c r="B14" s="27"/>
      <c r="C14" s="27"/>
      <c r="D14" s="591"/>
      <c r="E14" s="27"/>
      <c r="F14" s="592"/>
      <c r="G14" s="593"/>
      <c r="H14" s="593"/>
      <c r="I14" s="593"/>
      <c r="J14" s="593"/>
      <c r="K14" s="593"/>
      <c r="L14" s="593"/>
      <c r="M14" s="593"/>
      <c r="N14" s="593"/>
      <c r="O14" s="593"/>
      <c r="P14" s="27"/>
    </row>
    <row r="15">
      <c r="A15" s="27"/>
      <c r="B15" s="27"/>
      <c r="C15" s="27"/>
      <c r="D15" s="591"/>
      <c r="E15" s="58"/>
      <c r="F15" s="27"/>
      <c r="G15" s="27"/>
      <c r="H15" s="27"/>
      <c r="I15" s="27"/>
      <c r="J15" s="27"/>
      <c r="K15" s="27"/>
      <c r="L15" s="27"/>
      <c r="M15" s="27"/>
      <c r="N15" s="27"/>
      <c r="O15" s="27"/>
      <c r="P15" s="27"/>
    </row>
    <row r="16">
      <c r="A16" s="27"/>
      <c r="B16" s="27"/>
      <c r="C16" s="27"/>
      <c r="D16" s="580"/>
      <c r="E16" s="58"/>
      <c r="F16" s="594">
        <v>1.0</v>
      </c>
      <c r="G16" s="595"/>
      <c r="H16" s="594">
        <v>2.0</v>
      </c>
      <c r="I16" s="595"/>
      <c r="J16" s="594">
        <v>3.0</v>
      </c>
      <c r="K16" s="595"/>
      <c r="L16" s="594">
        <v>4.0</v>
      </c>
      <c r="M16" s="595"/>
      <c r="N16" s="594">
        <v>5.0</v>
      </c>
      <c r="O16" s="595"/>
      <c r="P16" s="596"/>
    </row>
    <row r="17">
      <c r="A17" s="27"/>
      <c r="B17" s="27"/>
      <c r="C17" s="27"/>
      <c r="D17" s="580" t="s">
        <v>583</v>
      </c>
      <c r="E17" s="58"/>
      <c r="F17" s="597" t="str">
        <f>'🚀 Mobility program(s)'!I38</f>
        <v/>
      </c>
      <c r="G17" s="595"/>
      <c r="H17" s="597" t="str">
        <f>'🚀 Mobility program(s)'!I132</f>
        <v/>
      </c>
      <c r="I17" s="595"/>
      <c r="J17" s="597" t="str">
        <f>'🚀 Mobility program(s)'!I226</f>
        <v/>
      </c>
      <c r="K17" s="595"/>
      <c r="L17" s="597" t="str">
        <f>'🚀 Mobility program(s)'!I320</f>
        <v/>
      </c>
      <c r="M17" s="595"/>
      <c r="N17" s="597" t="str">
        <f>'🚀 Mobility program(s)'!I414</f>
        <v/>
      </c>
      <c r="O17" s="595"/>
      <c r="P17" s="596"/>
    </row>
    <row r="18">
      <c r="A18" s="27"/>
      <c r="B18" s="27"/>
      <c r="C18" s="27"/>
      <c r="D18" s="580" t="s">
        <v>584</v>
      </c>
      <c r="E18" s="58"/>
      <c r="F18" s="598" t="str">
        <f t="array" ref="F18">IFERROR(INDEX('👾 RAW MAPPING'!$A$19:$A$55, SMALL(IF('👾 RAW MAPPING'!$A$19:$A$55&lt;&gt;"", ROW('👾 RAW MAPPING'!$A$19:$A$55)-ROW('👾 RAW MAPPING'!$A$19)+1), ROW(F18)-ROW(F$18)+1)), "")</f>
        <v/>
      </c>
      <c r="G18" s="599"/>
      <c r="H18" s="598" t="str">
        <f t="array" ref="H18">IFERROR(INDEX('👾 RAW MAPPING'!$C$19:$C$55, SMALL(IF('👾 RAW MAPPING'!$C$19:$C$55&lt;&gt;"", ROW('👾 RAW MAPPING'!$C$19:$C$55)-ROW('👾 RAW MAPPING'!$C$19)+1), ROW(H18)-ROW(H$18)+1)), "")</f>
        <v/>
      </c>
      <c r="I18" s="599"/>
      <c r="J18" s="598" t="str">
        <f t="array" ref="J18">IFERROR(INDEX('👾 RAW MAPPING'!$E$19:$E$55, SMALL(IF('👾 RAW MAPPING'!$E$19:$E$55&lt;&gt;"", ROW('👾 RAW MAPPING'!$E$19:$E$55)-ROW('👾 RAW MAPPING'!$E$19)+1), ROW(J18)-ROW(J$18)+1)), "")</f>
        <v/>
      </c>
      <c r="K18" s="599"/>
      <c r="L18" s="598" t="str">
        <f t="array" ref="L18">IFERROR(INDEX('👾 RAW MAPPING'!$G$19:$G$55, SMALL(IF('👾 RAW MAPPING'!$G$19:$G$55&lt;&gt;"", ROW('👾 RAW MAPPING'!$G$19:$G$55)-ROW('👾 RAW MAPPING'!$G$19)+1), ROW(L18)-ROW(L$18)+1)), "")</f>
        <v/>
      </c>
      <c r="M18" s="599"/>
      <c r="N18" s="598" t="str">
        <f t="array" ref="N18">IFERROR(INDEX('👾 RAW MAPPING'!$I$19:$I$55, SMALL(IF('👾 RAW MAPPING'!$I$19:$I$55&lt;&gt;"", ROW('👾 RAW MAPPING'!$I$19:$I$55)-ROW('👾 RAW MAPPING'!$I$19)+1), ROW(N18)-ROW(N$18)+1)), "")</f>
        <v/>
      </c>
      <c r="O18" s="599"/>
      <c r="P18" s="27"/>
    </row>
    <row r="19">
      <c r="A19" s="27"/>
      <c r="B19" s="27"/>
      <c r="C19" s="27"/>
      <c r="D19" s="591"/>
      <c r="E19" s="58"/>
      <c r="F19" s="598" t="str">
        <f t="array" ref="F19">IFERROR(INDEX('👾 RAW MAPPING'!$A$19:$A$55, SMALL(IF('👾 RAW MAPPING'!$A$19:$A$55&lt;&gt;"", ROW('👾 RAW MAPPING'!$A$19:$A$55)-ROW('👾 RAW MAPPING'!$A$19)+1), ROW(F19)-ROW(F$18)+1)), "")</f>
        <v/>
      </c>
      <c r="G19" s="599"/>
      <c r="H19" s="598" t="str">
        <f t="array" ref="H19">IFERROR(INDEX('👾 RAW MAPPING'!$C$19:$C$55, SMALL(IF('👾 RAW MAPPING'!$C$19:$C$55&lt;&gt;"", ROW('👾 RAW MAPPING'!$C$19:$C$55)-ROW('👾 RAW MAPPING'!$C$19)+1), ROW(H19)-ROW(H$18)+1)), "")</f>
        <v/>
      </c>
      <c r="I19" s="599"/>
      <c r="J19" s="598" t="str">
        <f t="array" ref="J19">IFERROR(INDEX('👾 RAW MAPPING'!$E$19:$E$55, SMALL(IF('👾 RAW MAPPING'!$E$19:$E$55&lt;&gt;"", ROW('👾 RAW MAPPING'!$E$19:$E$55)-ROW('👾 RAW MAPPING'!$E$19)+1), ROW(J19)-ROW(J$18)+1)), "")</f>
        <v/>
      </c>
      <c r="K19" s="599"/>
      <c r="L19" s="598" t="str">
        <f t="array" ref="L19">IFERROR(INDEX('👾 RAW MAPPING'!$G$19:$G$55, SMALL(IF('👾 RAW MAPPING'!$G$19:$G$55&lt;&gt;"", ROW('👾 RAW MAPPING'!$G$19:$G$55)-ROW('👾 RAW MAPPING'!$G$19)+1), ROW(L19)-ROW(L$18)+1)), "")</f>
        <v/>
      </c>
      <c r="M19" s="599"/>
      <c r="N19" s="598" t="str">
        <f t="array" ref="N19">IFERROR(INDEX('👾 RAW MAPPING'!$I$19:$I$55, SMALL(IF('👾 RAW MAPPING'!$I$19:$I$55&lt;&gt;"", ROW('👾 RAW MAPPING'!$I$19:$I$55)-ROW('👾 RAW MAPPING'!$I$19)+1), ROW(N19)-ROW(N$18)+1)), "")</f>
        <v/>
      </c>
      <c r="O19" s="599"/>
      <c r="P19" s="57"/>
    </row>
    <row r="20">
      <c r="A20" s="27"/>
      <c r="B20" s="27"/>
      <c r="C20" s="27"/>
      <c r="D20" s="591"/>
      <c r="E20" s="58"/>
      <c r="F20" s="598" t="str">
        <f t="array" ref="F20">IFERROR(INDEX('👾 RAW MAPPING'!$A$19:$A$55, SMALL(IF('👾 RAW MAPPING'!$A$19:$A$55&lt;&gt;"", ROW('👾 RAW MAPPING'!$A$19:$A$55)-ROW('👾 RAW MAPPING'!$A$19)+1), ROW(F20)-ROW(F$18)+1)), "")</f>
        <v/>
      </c>
      <c r="G20" s="599"/>
      <c r="H20" s="598" t="str">
        <f t="array" ref="H20">IFERROR(INDEX('👾 RAW MAPPING'!$C$19:$C$55, SMALL(IF('👾 RAW MAPPING'!$C$19:$C$55&lt;&gt;"", ROW('👾 RAW MAPPING'!$C$19:$C$55)-ROW('👾 RAW MAPPING'!$C$19)+1), ROW(H20)-ROW(H$18)+1)), "")</f>
        <v/>
      </c>
      <c r="I20" s="599"/>
      <c r="J20" s="598" t="str">
        <f t="array" ref="J20">IFERROR(INDEX('👾 RAW MAPPING'!$E$19:$E$55, SMALL(IF('👾 RAW MAPPING'!$E$19:$E$55&lt;&gt;"", ROW('👾 RAW MAPPING'!$E$19:$E$55)-ROW('👾 RAW MAPPING'!$E$19)+1), ROW(J20)-ROW(J$18)+1)), "")</f>
        <v/>
      </c>
      <c r="K20" s="599"/>
      <c r="L20" s="598" t="str">
        <f t="array" ref="L20">IFERROR(INDEX('👾 RAW MAPPING'!$G$19:$G$55, SMALL(IF('👾 RAW MAPPING'!$G$19:$G$55&lt;&gt;"", ROW('👾 RAW MAPPING'!$G$19:$G$55)-ROW('👾 RAW MAPPING'!$G$19)+1), ROW(L20)-ROW(L$18)+1)), "")</f>
        <v/>
      </c>
      <c r="M20" s="599"/>
      <c r="N20" s="598" t="str">
        <f t="array" ref="N20">IFERROR(INDEX('👾 RAW MAPPING'!$I$19:$I$55, SMALL(IF('👾 RAW MAPPING'!$I$19:$I$55&lt;&gt;"", ROW('👾 RAW MAPPING'!$I$19:$I$55)-ROW('👾 RAW MAPPING'!$I$19)+1), ROW(N20)-ROW(N$18)+1)), "")</f>
        <v/>
      </c>
      <c r="O20" s="599"/>
      <c r="P20" s="57"/>
    </row>
    <row r="21">
      <c r="A21" s="27"/>
      <c r="B21" s="27"/>
      <c r="C21" s="27"/>
      <c r="D21" s="591"/>
      <c r="E21" s="58"/>
      <c r="F21" s="598" t="str">
        <f t="array" ref="F21">IFERROR(INDEX('👾 RAW MAPPING'!$A$19:$A$55, SMALL(IF('👾 RAW MAPPING'!$A$19:$A$55&lt;&gt;"", ROW('👾 RAW MAPPING'!$A$19:$A$55)-ROW('👾 RAW MAPPING'!$A$19)+1), ROW(F21)-ROW(F$18)+1)), "")</f>
        <v/>
      </c>
      <c r="G21" s="599"/>
      <c r="H21" s="598" t="str">
        <f t="array" ref="H21">IFERROR(INDEX('👾 RAW MAPPING'!$C$19:$C$55, SMALL(IF('👾 RAW MAPPING'!$C$19:$C$55&lt;&gt;"", ROW('👾 RAW MAPPING'!$C$19:$C$55)-ROW('👾 RAW MAPPING'!$C$19)+1), ROW(H21)-ROW(H$18)+1)), "")</f>
        <v/>
      </c>
      <c r="I21" s="599"/>
      <c r="J21" s="598" t="str">
        <f t="array" ref="J21">IFERROR(INDEX('👾 RAW MAPPING'!$E$19:$E$55, SMALL(IF('👾 RAW MAPPING'!$E$19:$E$55&lt;&gt;"", ROW('👾 RAW MAPPING'!$E$19:$E$55)-ROW('👾 RAW MAPPING'!$E$19)+1), ROW(J21)-ROW(J$18)+1)), "")</f>
        <v/>
      </c>
      <c r="K21" s="599"/>
      <c r="L21" s="598" t="str">
        <f t="array" ref="L21">IFERROR(INDEX('👾 RAW MAPPING'!$G$19:$G$55, SMALL(IF('👾 RAW MAPPING'!$G$19:$G$55&lt;&gt;"", ROW('👾 RAW MAPPING'!$G$19:$G$55)-ROW('👾 RAW MAPPING'!$G$19)+1), ROW(L21)-ROW(L$18)+1)), "")</f>
        <v/>
      </c>
      <c r="M21" s="599"/>
      <c r="N21" s="598" t="str">
        <f t="array" ref="N21">IFERROR(INDEX('👾 RAW MAPPING'!$I$19:$I$55, SMALL(IF('👾 RAW MAPPING'!$I$19:$I$55&lt;&gt;"", ROW('👾 RAW MAPPING'!$I$19:$I$55)-ROW('👾 RAW MAPPING'!$I$19)+1), ROW(N21)-ROW(N$18)+1)), "")</f>
        <v/>
      </c>
      <c r="O21" s="599"/>
      <c r="P21" s="57"/>
    </row>
    <row r="22">
      <c r="A22" s="27"/>
      <c r="B22" s="27"/>
      <c r="C22" s="27"/>
      <c r="D22" s="591"/>
      <c r="E22" s="58"/>
      <c r="F22" s="598" t="str">
        <f t="array" ref="F22">IFERROR(INDEX('👾 RAW MAPPING'!$A$19:$A$55, SMALL(IF('👾 RAW MAPPING'!$A$19:$A$55&lt;&gt;"", ROW('👾 RAW MAPPING'!$A$19:$A$55)-ROW('👾 RAW MAPPING'!$A$19)+1), ROW(F22)-ROW(F$18)+1)), "")</f>
        <v/>
      </c>
      <c r="G22" s="599"/>
      <c r="H22" s="598" t="str">
        <f t="array" ref="H22">IFERROR(INDEX('👾 RAW MAPPING'!$C$19:$C$55, SMALL(IF('👾 RAW MAPPING'!$C$19:$C$55&lt;&gt;"", ROW('👾 RAW MAPPING'!$C$19:$C$55)-ROW('👾 RAW MAPPING'!$C$19)+1), ROW(H22)-ROW(H$18)+1)), "")</f>
        <v/>
      </c>
      <c r="I22" s="599"/>
      <c r="J22" s="598" t="str">
        <f t="array" ref="J22">IFERROR(INDEX('👾 RAW MAPPING'!$E$19:$E$55, SMALL(IF('👾 RAW MAPPING'!$E$19:$E$55&lt;&gt;"", ROW('👾 RAW MAPPING'!$E$19:$E$55)-ROW('👾 RAW MAPPING'!$E$19)+1), ROW(J22)-ROW(J$18)+1)), "")</f>
        <v/>
      </c>
      <c r="K22" s="599"/>
      <c r="L22" s="598" t="str">
        <f t="array" ref="L22">IFERROR(INDEX('👾 RAW MAPPING'!$G$19:$G$55, SMALL(IF('👾 RAW MAPPING'!$G$19:$G$55&lt;&gt;"", ROW('👾 RAW MAPPING'!$G$19:$G$55)-ROW('👾 RAW MAPPING'!$G$19)+1), ROW(L22)-ROW(L$18)+1)), "")</f>
        <v/>
      </c>
      <c r="M22" s="599"/>
      <c r="N22" s="598" t="str">
        <f t="array" ref="N22">IFERROR(INDEX('👾 RAW MAPPING'!$I$19:$I$55, SMALL(IF('👾 RAW MAPPING'!$I$19:$I$55&lt;&gt;"", ROW('👾 RAW MAPPING'!$I$19:$I$55)-ROW('👾 RAW MAPPING'!$I$19)+1), ROW(N22)-ROW(N$18)+1)), "")</f>
        <v/>
      </c>
      <c r="O22" s="599"/>
      <c r="P22" s="57"/>
    </row>
    <row r="23">
      <c r="A23" s="27"/>
      <c r="B23" s="27"/>
      <c r="C23" s="27"/>
      <c r="D23" s="591"/>
      <c r="E23" s="58"/>
      <c r="F23" s="598" t="str">
        <f t="array" ref="F23">IFERROR(INDEX('👾 RAW MAPPING'!$A$19:$A$55, SMALL(IF('👾 RAW MAPPING'!$A$19:$A$55&lt;&gt;"", ROW('👾 RAW MAPPING'!$A$19:$A$55)-ROW('👾 RAW MAPPING'!$A$19)+1), ROW(F23)-ROW(F$18)+1)), "")</f>
        <v/>
      </c>
      <c r="G23" s="599"/>
      <c r="H23" s="598" t="str">
        <f t="array" ref="H23">IFERROR(INDEX('👾 RAW MAPPING'!$C$19:$C$55, SMALL(IF('👾 RAW MAPPING'!$C$19:$C$55&lt;&gt;"", ROW('👾 RAW MAPPING'!$C$19:$C$55)-ROW('👾 RAW MAPPING'!$C$19)+1), ROW(H23)-ROW(H$18)+1)), "")</f>
        <v/>
      </c>
      <c r="I23" s="599"/>
      <c r="J23" s="598" t="str">
        <f t="array" ref="J23">IFERROR(INDEX('👾 RAW MAPPING'!$E$19:$E$55, SMALL(IF('👾 RAW MAPPING'!$E$19:$E$55&lt;&gt;"", ROW('👾 RAW MAPPING'!$E$19:$E$55)-ROW('👾 RAW MAPPING'!$E$19)+1), ROW(J23)-ROW(J$18)+1)), "")</f>
        <v/>
      </c>
      <c r="K23" s="599"/>
      <c r="L23" s="598" t="str">
        <f t="array" ref="L23">IFERROR(INDEX('👾 RAW MAPPING'!$G$19:$G$55, SMALL(IF('👾 RAW MAPPING'!$G$19:$G$55&lt;&gt;"", ROW('👾 RAW MAPPING'!$G$19:$G$55)-ROW('👾 RAW MAPPING'!$G$19)+1), ROW(L23)-ROW(L$18)+1)), "")</f>
        <v/>
      </c>
      <c r="M23" s="599"/>
      <c r="N23" s="598" t="str">
        <f t="array" ref="N23">IFERROR(INDEX('👾 RAW MAPPING'!$I$19:$I$55, SMALL(IF('👾 RAW MAPPING'!$I$19:$I$55&lt;&gt;"", ROW('👾 RAW MAPPING'!$I$19:$I$55)-ROW('👾 RAW MAPPING'!$I$19)+1), ROW(N23)-ROW(N$18)+1)), "")</f>
        <v/>
      </c>
      <c r="O23" s="599"/>
      <c r="P23" s="57"/>
    </row>
    <row r="24">
      <c r="A24" s="27"/>
      <c r="B24" s="27"/>
      <c r="C24" s="27"/>
      <c r="D24" s="591"/>
      <c r="E24" s="58"/>
      <c r="F24" s="598" t="str">
        <f t="array" ref="F24">IFERROR(INDEX('👾 RAW MAPPING'!$A$19:$A$55, SMALL(IF('👾 RAW MAPPING'!$A$19:$A$55&lt;&gt;"", ROW('👾 RAW MAPPING'!$A$19:$A$55)-ROW('👾 RAW MAPPING'!$A$19)+1), ROW(F24)-ROW(F$18)+1)), "")</f>
        <v/>
      </c>
      <c r="G24" s="599"/>
      <c r="H24" s="598" t="str">
        <f t="array" ref="H24">IFERROR(INDEX('👾 RAW MAPPING'!$C$19:$C$55, SMALL(IF('👾 RAW MAPPING'!$C$19:$C$55&lt;&gt;"", ROW('👾 RAW MAPPING'!$C$19:$C$55)-ROW('👾 RAW MAPPING'!$C$19)+1), ROW(H24)-ROW(H$18)+1)), "")</f>
        <v/>
      </c>
      <c r="I24" s="599"/>
      <c r="J24" s="598" t="str">
        <f t="array" ref="J24">IFERROR(INDEX('👾 RAW MAPPING'!$E$19:$E$55, SMALL(IF('👾 RAW MAPPING'!$E$19:$E$55&lt;&gt;"", ROW('👾 RAW MAPPING'!$E$19:$E$55)-ROW('👾 RAW MAPPING'!$E$19)+1), ROW(J24)-ROW(J$18)+1)), "")</f>
        <v/>
      </c>
      <c r="K24" s="599"/>
      <c r="L24" s="598" t="str">
        <f t="array" ref="L24">IFERROR(INDEX('👾 RAW MAPPING'!$G$19:$G$55, SMALL(IF('👾 RAW MAPPING'!$G$19:$G$55&lt;&gt;"", ROW('👾 RAW MAPPING'!$G$19:$G$55)-ROW('👾 RAW MAPPING'!$G$19)+1), ROW(L24)-ROW(L$18)+1)), "")</f>
        <v/>
      </c>
      <c r="M24" s="599"/>
      <c r="N24" s="598" t="str">
        <f t="array" ref="N24">IFERROR(INDEX('👾 RAW MAPPING'!$I$19:$I$55, SMALL(IF('👾 RAW MAPPING'!$I$19:$I$55&lt;&gt;"", ROW('👾 RAW MAPPING'!$I$19:$I$55)-ROW('👾 RAW MAPPING'!$I$19)+1), ROW(N24)-ROW(N$18)+1)), "")</f>
        <v/>
      </c>
      <c r="O24" s="599"/>
      <c r="P24" s="57"/>
    </row>
    <row r="25">
      <c r="A25" s="27"/>
      <c r="B25" s="27"/>
      <c r="C25" s="27"/>
      <c r="D25" s="591"/>
      <c r="E25" s="58"/>
      <c r="F25" s="598" t="str">
        <f t="array" ref="F25">IFERROR(INDEX('👾 RAW MAPPING'!$A$19:$A$55, SMALL(IF('👾 RAW MAPPING'!$A$19:$A$55&lt;&gt;"", ROW('👾 RAW MAPPING'!$A$19:$A$55)-ROW('👾 RAW MAPPING'!$A$19)+1), ROW(F25)-ROW(F$18)+1)), "")</f>
        <v/>
      </c>
      <c r="G25" s="599"/>
      <c r="H25" s="598" t="str">
        <f t="array" ref="H25">IFERROR(INDEX('👾 RAW MAPPING'!$C$19:$C$55, SMALL(IF('👾 RAW MAPPING'!$C$19:$C$55&lt;&gt;"", ROW('👾 RAW MAPPING'!$C$19:$C$55)-ROW('👾 RAW MAPPING'!$C$19)+1), ROW(H25)-ROW(H$18)+1)), "")</f>
        <v/>
      </c>
      <c r="I25" s="599"/>
      <c r="J25" s="598" t="str">
        <f t="array" ref="J25">IFERROR(INDEX('👾 RAW MAPPING'!$E$19:$E$55, SMALL(IF('👾 RAW MAPPING'!$E$19:$E$55&lt;&gt;"", ROW('👾 RAW MAPPING'!$E$19:$E$55)-ROW('👾 RAW MAPPING'!$E$19)+1), ROW(J25)-ROW(J$18)+1)), "")</f>
        <v/>
      </c>
      <c r="K25" s="599"/>
      <c r="L25" s="598" t="str">
        <f t="array" ref="L25">IFERROR(INDEX('👾 RAW MAPPING'!$G$19:$G$55, SMALL(IF('👾 RAW MAPPING'!$G$19:$G$55&lt;&gt;"", ROW('👾 RAW MAPPING'!$G$19:$G$55)-ROW('👾 RAW MAPPING'!$G$19)+1), ROW(L25)-ROW(L$18)+1)), "")</f>
        <v/>
      </c>
      <c r="M25" s="599"/>
      <c r="N25" s="598" t="str">
        <f t="array" ref="N25">IFERROR(INDEX('👾 RAW MAPPING'!$I$19:$I$55, SMALL(IF('👾 RAW MAPPING'!$I$19:$I$55&lt;&gt;"", ROW('👾 RAW MAPPING'!$I$19:$I$55)-ROW('👾 RAW MAPPING'!$I$19)+1), ROW(N25)-ROW(N$18)+1)), "")</f>
        <v/>
      </c>
      <c r="O25" s="599"/>
      <c r="P25" s="57"/>
    </row>
    <row r="26">
      <c r="A26" s="27"/>
      <c r="B26" s="27"/>
      <c r="C26" s="27"/>
      <c r="D26" s="591"/>
      <c r="E26" s="58"/>
      <c r="F26" s="598" t="str">
        <f t="array" ref="F26">IFERROR(INDEX('👾 RAW MAPPING'!$A$19:$A$55, SMALL(IF('👾 RAW MAPPING'!$A$19:$A$55&lt;&gt;"", ROW('👾 RAW MAPPING'!$A$19:$A$55)-ROW('👾 RAW MAPPING'!$A$19)+1), ROW(F26)-ROW(F$18)+1)), "")</f>
        <v/>
      </c>
      <c r="G26" s="599"/>
      <c r="H26" s="598" t="str">
        <f t="array" ref="H26">IFERROR(INDEX('👾 RAW MAPPING'!$C$19:$C$55, SMALL(IF('👾 RAW MAPPING'!$C$19:$C$55&lt;&gt;"", ROW('👾 RAW MAPPING'!$C$19:$C$55)-ROW('👾 RAW MAPPING'!$C$19)+1), ROW(H26)-ROW(H$18)+1)), "")</f>
        <v/>
      </c>
      <c r="I26" s="599"/>
      <c r="J26" s="598" t="str">
        <f t="array" ref="J26">IFERROR(INDEX('👾 RAW MAPPING'!$E$19:$E$55, SMALL(IF('👾 RAW MAPPING'!$E$19:$E$55&lt;&gt;"", ROW('👾 RAW MAPPING'!$E$19:$E$55)-ROW('👾 RAW MAPPING'!$E$19)+1), ROW(J26)-ROW(J$18)+1)), "")</f>
        <v/>
      </c>
      <c r="K26" s="599"/>
      <c r="L26" s="598" t="str">
        <f t="array" ref="L26">IFERROR(INDEX('👾 RAW MAPPING'!$G$19:$G$55, SMALL(IF('👾 RAW MAPPING'!$G$19:$G$55&lt;&gt;"", ROW('👾 RAW MAPPING'!$G$19:$G$55)-ROW('👾 RAW MAPPING'!$G$19)+1), ROW(L26)-ROW(L$18)+1)), "")</f>
        <v/>
      </c>
      <c r="M26" s="599"/>
      <c r="N26" s="598" t="str">
        <f t="array" ref="N26">IFERROR(INDEX('👾 RAW MAPPING'!$I$19:$I$55, SMALL(IF('👾 RAW MAPPING'!$I$19:$I$55&lt;&gt;"", ROW('👾 RAW MAPPING'!$I$19:$I$55)-ROW('👾 RAW MAPPING'!$I$19)+1), ROW(N26)-ROW(N$18)+1)), "")</f>
        <v/>
      </c>
      <c r="O26" s="599"/>
      <c r="P26" s="57"/>
    </row>
    <row r="27">
      <c r="A27" s="27"/>
      <c r="B27" s="27"/>
      <c r="C27" s="27"/>
      <c r="D27" s="591"/>
      <c r="E27" s="58"/>
      <c r="F27" s="598" t="str">
        <f t="array" ref="F27">IFERROR(INDEX('👾 RAW MAPPING'!$A$19:$A$55, SMALL(IF('👾 RAW MAPPING'!$A$19:$A$55&lt;&gt;"", ROW('👾 RAW MAPPING'!$A$19:$A$55)-ROW('👾 RAW MAPPING'!$A$19)+1), ROW(F27)-ROW(F$18)+1)), "")</f>
        <v/>
      </c>
      <c r="G27" s="599"/>
      <c r="H27" s="598" t="str">
        <f t="array" ref="H27">IFERROR(INDEX('👾 RAW MAPPING'!$C$19:$C$55, SMALL(IF('👾 RAW MAPPING'!$C$19:$C$55&lt;&gt;"", ROW('👾 RAW MAPPING'!$C$19:$C$55)-ROW('👾 RAW MAPPING'!$C$19)+1), ROW(H27)-ROW(H$18)+1)), "")</f>
        <v/>
      </c>
      <c r="I27" s="599"/>
      <c r="J27" s="598" t="str">
        <f t="array" ref="J27">IFERROR(INDEX('👾 RAW MAPPING'!$E$19:$E$55, SMALL(IF('👾 RAW MAPPING'!$E$19:$E$55&lt;&gt;"", ROW('👾 RAW MAPPING'!$E$19:$E$55)-ROW('👾 RAW MAPPING'!$E$19)+1), ROW(J27)-ROW(J$18)+1)), "")</f>
        <v/>
      </c>
      <c r="K27" s="599"/>
      <c r="L27" s="598" t="str">
        <f t="array" ref="L27">IFERROR(INDEX('👾 RAW MAPPING'!$G$19:$G$55, SMALL(IF('👾 RAW MAPPING'!$G$19:$G$55&lt;&gt;"", ROW('👾 RAW MAPPING'!$G$19:$G$55)-ROW('👾 RAW MAPPING'!$G$19)+1), ROW(L27)-ROW(L$18)+1)), "")</f>
        <v/>
      </c>
      <c r="M27" s="599"/>
      <c r="N27" s="598" t="str">
        <f t="array" ref="N27">IFERROR(INDEX('👾 RAW MAPPING'!$I$19:$I$55, SMALL(IF('👾 RAW MAPPING'!$I$19:$I$55&lt;&gt;"", ROW('👾 RAW MAPPING'!$I$19:$I$55)-ROW('👾 RAW MAPPING'!$I$19)+1), ROW(N27)-ROW(N$18)+1)), "")</f>
        <v/>
      </c>
      <c r="O27" s="599"/>
      <c r="P27" s="57"/>
    </row>
    <row r="28">
      <c r="A28" s="27"/>
      <c r="B28" s="27"/>
      <c r="C28" s="27"/>
      <c r="D28" s="591"/>
      <c r="E28" s="58"/>
      <c r="F28" s="598" t="str">
        <f t="array" ref="F28">IFERROR(INDEX('👾 RAW MAPPING'!$A$19:$A$55, SMALL(IF('👾 RAW MAPPING'!$A$19:$A$55&lt;&gt;"", ROW('👾 RAW MAPPING'!$A$19:$A$55)-ROW('👾 RAW MAPPING'!$A$19)+1), ROW(F28)-ROW(F$18)+1)), "")</f>
        <v/>
      </c>
      <c r="G28" s="599"/>
      <c r="H28" s="598" t="str">
        <f t="array" ref="H28">IFERROR(INDEX('👾 RAW MAPPING'!$C$19:$C$55, SMALL(IF('👾 RAW MAPPING'!$C$19:$C$55&lt;&gt;"", ROW('👾 RAW MAPPING'!$C$19:$C$55)-ROW('👾 RAW MAPPING'!$C$19)+1), ROW(H28)-ROW(H$18)+1)), "")</f>
        <v/>
      </c>
      <c r="I28" s="599"/>
      <c r="J28" s="598" t="str">
        <f t="array" ref="J28">IFERROR(INDEX('👾 RAW MAPPING'!$E$19:$E$55, SMALL(IF('👾 RAW MAPPING'!$E$19:$E$55&lt;&gt;"", ROW('👾 RAW MAPPING'!$E$19:$E$55)-ROW('👾 RAW MAPPING'!$E$19)+1), ROW(J28)-ROW(J$18)+1)), "")</f>
        <v/>
      </c>
      <c r="K28" s="599"/>
      <c r="L28" s="598" t="str">
        <f t="array" ref="L28">IFERROR(INDEX('👾 RAW MAPPING'!$G$19:$G$55, SMALL(IF('👾 RAW MAPPING'!$G$19:$G$55&lt;&gt;"", ROW('👾 RAW MAPPING'!$G$19:$G$55)-ROW('👾 RAW MAPPING'!$G$19)+1), ROW(L28)-ROW(L$18)+1)), "")</f>
        <v/>
      </c>
      <c r="M28" s="599"/>
      <c r="N28" s="598" t="str">
        <f t="array" ref="N28">IFERROR(INDEX('👾 RAW MAPPING'!$I$19:$I$55, SMALL(IF('👾 RAW MAPPING'!$I$19:$I$55&lt;&gt;"", ROW('👾 RAW MAPPING'!$I$19:$I$55)-ROW('👾 RAW MAPPING'!$I$19)+1), ROW(N28)-ROW(N$18)+1)), "")</f>
        <v/>
      </c>
      <c r="O28" s="599"/>
      <c r="P28" s="57"/>
    </row>
    <row r="29">
      <c r="A29" s="27"/>
      <c r="B29" s="27"/>
      <c r="C29" s="27"/>
      <c r="D29" s="591"/>
      <c r="E29" s="58"/>
      <c r="F29" s="598" t="str">
        <f t="array" ref="F29">IFERROR(INDEX('👾 RAW MAPPING'!$A$19:$A$55, SMALL(IF('👾 RAW MAPPING'!$A$19:$A$55&lt;&gt;"", ROW('👾 RAW MAPPING'!$A$19:$A$55)-ROW('👾 RAW MAPPING'!$A$19)+1), ROW(F29)-ROW(F$18)+1)), "")</f>
        <v/>
      </c>
      <c r="G29" s="599"/>
      <c r="H29" s="598" t="str">
        <f t="array" ref="H29">IFERROR(INDEX('👾 RAW MAPPING'!$C$19:$C$55, SMALL(IF('👾 RAW MAPPING'!$C$19:$C$55&lt;&gt;"", ROW('👾 RAW MAPPING'!$C$19:$C$55)-ROW('👾 RAW MAPPING'!$C$19)+1), ROW(H29)-ROW(H$18)+1)), "")</f>
        <v/>
      </c>
      <c r="I29" s="599"/>
      <c r="J29" s="598" t="str">
        <f t="array" ref="J29">IFERROR(INDEX('👾 RAW MAPPING'!$E$19:$E$55, SMALL(IF('👾 RAW MAPPING'!$E$19:$E$55&lt;&gt;"", ROW('👾 RAW MAPPING'!$E$19:$E$55)-ROW('👾 RAW MAPPING'!$E$19)+1), ROW(J29)-ROW(J$18)+1)), "")</f>
        <v/>
      </c>
      <c r="K29" s="599"/>
      <c r="L29" s="598" t="str">
        <f t="array" ref="L29">IFERROR(INDEX('👾 RAW MAPPING'!$G$19:$G$55, SMALL(IF('👾 RAW MAPPING'!$G$19:$G$55&lt;&gt;"", ROW('👾 RAW MAPPING'!$G$19:$G$55)-ROW('👾 RAW MAPPING'!$G$19)+1), ROW(L29)-ROW(L$18)+1)), "")</f>
        <v/>
      </c>
      <c r="M29" s="599"/>
      <c r="N29" s="598" t="str">
        <f t="array" ref="N29">IFERROR(INDEX('👾 RAW MAPPING'!$I$19:$I$55, SMALL(IF('👾 RAW MAPPING'!$I$19:$I$55&lt;&gt;"", ROW('👾 RAW MAPPING'!$I$19:$I$55)-ROW('👾 RAW MAPPING'!$I$19)+1), ROW(N29)-ROW(N$18)+1)), "")</f>
        <v/>
      </c>
      <c r="O29" s="599"/>
      <c r="P29" s="57"/>
    </row>
    <row r="30">
      <c r="A30" s="27"/>
      <c r="B30" s="27"/>
      <c r="C30" s="27"/>
      <c r="D30" s="591"/>
      <c r="E30" s="58"/>
      <c r="F30" s="598" t="str">
        <f t="array" ref="F30">IFERROR(INDEX('👾 RAW MAPPING'!$A$19:$A$55, SMALL(IF('👾 RAW MAPPING'!$A$19:$A$55&lt;&gt;"", ROW('👾 RAW MAPPING'!$A$19:$A$55)-ROW('👾 RAW MAPPING'!$A$19)+1), ROW(F30)-ROW(F$18)+1)), "")</f>
        <v/>
      </c>
      <c r="G30" s="599"/>
      <c r="H30" s="598" t="str">
        <f t="array" ref="H30">IFERROR(INDEX('👾 RAW MAPPING'!$C$19:$C$55, SMALL(IF('👾 RAW MAPPING'!$C$19:$C$55&lt;&gt;"", ROW('👾 RAW MAPPING'!$C$19:$C$55)-ROW('👾 RAW MAPPING'!$C$19)+1), ROW(H30)-ROW(H$18)+1)), "")</f>
        <v/>
      </c>
      <c r="I30" s="599"/>
      <c r="J30" s="598" t="str">
        <f t="array" ref="J30">IFERROR(INDEX('👾 RAW MAPPING'!$E$19:$E$55, SMALL(IF('👾 RAW MAPPING'!$E$19:$E$55&lt;&gt;"", ROW('👾 RAW MAPPING'!$E$19:$E$55)-ROW('👾 RAW MAPPING'!$E$19)+1), ROW(J30)-ROW(J$18)+1)), "")</f>
        <v/>
      </c>
      <c r="K30" s="599"/>
      <c r="L30" s="598" t="str">
        <f t="array" ref="L30">IFERROR(INDEX('👾 RAW MAPPING'!$G$19:$G$55, SMALL(IF('👾 RAW MAPPING'!$G$19:$G$55&lt;&gt;"", ROW('👾 RAW MAPPING'!$G$19:$G$55)-ROW('👾 RAW MAPPING'!$G$19)+1), ROW(L30)-ROW(L$18)+1)), "")</f>
        <v/>
      </c>
      <c r="M30" s="599"/>
      <c r="N30" s="598" t="str">
        <f t="array" ref="N30">IFERROR(INDEX('👾 RAW MAPPING'!$I$19:$I$55, SMALL(IF('👾 RAW MAPPING'!$I$19:$I$55&lt;&gt;"", ROW('👾 RAW MAPPING'!$I$19:$I$55)-ROW('👾 RAW MAPPING'!$I$19)+1), ROW(N30)-ROW(N$18)+1)), "")</f>
        <v/>
      </c>
      <c r="O30" s="599"/>
      <c r="P30" s="57"/>
    </row>
    <row r="31">
      <c r="A31" s="27"/>
      <c r="B31" s="27"/>
      <c r="C31" s="27"/>
      <c r="D31" s="591"/>
      <c r="E31" s="58"/>
      <c r="F31" s="598" t="str">
        <f t="array" ref="F31">IFERROR(INDEX('👾 RAW MAPPING'!$A$19:$A$55, SMALL(IF('👾 RAW MAPPING'!$A$19:$A$55&lt;&gt;"", ROW('👾 RAW MAPPING'!$A$19:$A$55)-ROW('👾 RAW MAPPING'!$A$19)+1), ROW(F31)-ROW(F$18)+1)), "")</f>
        <v/>
      </c>
      <c r="G31" s="599"/>
      <c r="H31" s="598" t="str">
        <f t="array" ref="H31">IFERROR(INDEX('👾 RAW MAPPING'!$C$19:$C$55, SMALL(IF('👾 RAW MAPPING'!$C$19:$C$55&lt;&gt;"", ROW('👾 RAW MAPPING'!$C$19:$C$55)-ROW('👾 RAW MAPPING'!$C$19)+1), ROW(H31)-ROW(H$18)+1)), "")</f>
        <v/>
      </c>
      <c r="I31" s="599"/>
      <c r="J31" s="598" t="str">
        <f t="array" ref="J31">IFERROR(INDEX('👾 RAW MAPPING'!$E$19:$E$55, SMALL(IF('👾 RAW MAPPING'!$E$19:$E$55&lt;&gt;"", ROW('👾 RAW MAPPING'!$E$19:$E$55)-ROW('👾 RAW MAPPING'!$E$19)+1), ROW(J31)-ROW(J$18)+1)), "")</f>
        <v/>
      </c>
      <c r="K31" s="599"/>
      <c r="L31" s="598" t="str">
        <f t="array" ref="L31">IFERROR(INDEX('👾 RAW MAPPING'!$G$19:$G$55, SMALL(IF('👾 RAW MAPPING'!$G$19:$G$55&lt;&gt;"", ROW('👾 RAW MAPPING'!$G$19:$G$55)-ROW('👾 RAW MAPPING'!$G$19)+1), ROW(L31)-ROW(L$18)+1)), "")</f>
        <v/>
      </c>
      <c r="M31" s="599"/>
      <c r="N31" s="598" t="str">
        <f t="array" ref="N31">IFERROR(INDEX('👾 RAW MAPPING'!$I$19:$I$55, SMALL(IF('👾 RAW MAPPING'!$I$19:$I$55&lt;&gt;"", ROW('👾 RAW MAPPING'!$I$19:$I$55)-ROW('👾 RAW MAPPING'!$I$19)+1), ROW(N31)-ROW(N$18)+1)), "")</f>
        <v/>
      </c>
      <c r="O31" s="599"/>
      <c r="P31" s="57"/>
    </row>
    <row r="32">
      <c r="A32" s="27"/>
      <c r="B32" s="27"/>
      <c r="C32" s="27"/>
      <c r="D32" s="591"/>
      <c r="E32" s="58"/>
      <c r="F32" s="598" t="str">
        <f t="array" ref="F32">IFERROR(INDEX('👾 RAW MAPPING'!$A$19:$A$55, SMALL(IF('👾 RAW MAPPING'!$A$19:$A$55&lt;&gt;"", ROW('👾 RAW MAPPING'!$A$19:$A$55)-ROW('👾 RAW MAPPING'!$A$19)+1), ROW(F32)-ROW(F$18)+1)), "")</f>
        <v/>
      </c>
      <c r="G32" s="599"/>
      <c r="H32" s="598" t="str">
        <f t="array" ref="H32">IFERROR(INDEX('👾 RAW MAPPING'!$C$19:$C$55, SMALL(IF('👾 RAW MAPPING'!$C$19:$C$55&lt;&gt;"", ROW('👾 RAW MAPPING'!$C$19:$C$55)-ROW('👾 RAW MAPPING'!$C$19)+1), ROW(H32)-ROW(H$18)+1)), "")</f>
        <v/>
      </c>
      <c r="I32" s="599"/>
      <c r="J32" s="598" t="str">
        <f t="array" ref="J32">IFERROR(INDEX('👾 RAW MAPPING'!$E$19:$E$55, SMALL(IF('👾 RAW MAPPING'!$E$19:$E$55&lt;&gt;"", ROW('👾 RAW MAPPING'!$E$19:$E$55)-ROW('👾 RAW MAPPING'!$E$19)+1), ROW(J32)-ROW(J$18)+1)), "")</f>
        <v/>
      </c>
      <c r="K32" s="599"/>
      <c r="L32" s="598" t="str">
        <f t="array" ref="L32">IFERROR(INDEX('👾 RAW MAPPING'!$G$19:$G$55, SMALL(IF('👾 RAW MAPPING'!$G$19:$G$55&lt;&gt;"", ROW('👾 RAW MAPPING'!$G$19:$G$55)-ROW('👾 RAW MAPPING'!$G$19)+1), ROW(L32)-ROW(L$18)+1)), "")</f>
        <v/>
      </c>
      <c r="M32" s="599"/>
      <c r="N32" s="598" t="str">
        <f t="array" ref="N32">IFERROR(INDEX('👾 RAW MAPPING'!$I$19:$I$55, SMALL(IF('👾 RAW MAPPING'!$I$19:$I$55&lt;&gt;"", ROW('👾 RAW MAPPING'!$I$19:$I$55)-ROW('👾 RAW MAPPING'!$I$19)+1), ROW(N32)-ROW(N$18)+1)), "")</f>
        <v/>
      </c>
      <c r="O32" s="599"/>
      <c r="P32" s="57"/>
    </row>
    <row r="33">
      <c r="A33" s="27"/>
      <c r="B33" s="27"/>
      <c r="C33" s="27"/>
      <c r="D33" s="591"/>
      <c r="E33" s="58"/>
      <c r="F33" s="598" t="str">
        <f t="array" ref="F33">IFERROR(INDEX('👾 RAW MAPPING'!$A$19:$A$55, SMALL(IF('👾 RAW MAPPING'!$A$19:$A$55&lt;&gt;"", ROW('👾 RAW MAPPING'!$A$19:$A$55)-ROW('👾 RAW MAPPING'!$A$19)+1), ROW(F33)-ROW(F$18)+1)), "")</f>
        <v/>
      </c>
      <c r="G33" s="599"/>
      <c r="H33" s="598" t="str">
        <f t="array" ref="H33">IFERROR(INDEX('👾 RAW MAPPING'!$C$19:$C$55, SMALL(IF('👾 RAW MAPPING'!$C$19:$C$55&lt;&gt;"", ROW('👾 RAW MAPPING'!$C$19:$C$55)-ROW('👾 RAW MAPPING'!$C$19)+1), ROW(H33)-ROW(H$18)+1)), "")</f>
        <v/>
      </c>
      <c r="I33" s="599"/>
      <c r="J33" s="598" t="str">
        <f t="array" ref="J33">IFERROR(INDEX('👾 RAW MAPPING'!$E$19:$E$55, SMALL(IF('👾 RAW MAPPING'!$E$19:$E$55&lt;&gt;"", ROW('👾 RAW MAPPING'!$E$19:$E$55)-ROW('👾 RAW MAPPING'!$E$19)+1), ROW(J33)-ROW(J$18)+1)), "")</f>
        <v/>
      </c>
      <c r="K33" s="599"/>
      <c r="L33" s="598" t="str">
        <f t="array" ref="L33">IFERROR(INDEX('👾 RAW MAPPING'!$G$19:$G$55, SMALL(IF('👾 RAW MAPPING'!$G$19:$G$55&lt;&gt;"", ROW('👾 RAW MAPPING'!$G$19:$G$55)-ROW('👾 RAW MAPPING'!$G$19)+1), ROW(L33)-ROW(L$18)+1)), "")</f>
        <v/>
      </c>
      <c r="M33" s="599"/>
      <c r="N33" s="598" t="str">
        <f t="array" ref="N33">IFERROR(INDEX('👾 RAW MAPPING'!$I$19:$I$55, SMALL(IF('👾 RAW MAPPING'!$I$19:$I$55&lt;&gt;"", ROW('👾 RAW MAPPING'!$I$19:$I$55)-ROW('👾 RAW MAPPING'!$I$19)+1), ROW(N33)-ROW(N$18)+1)), "")</f>
        <v/>
      </c>
      <c r="O33" s="599"/>
      <c r="P33" s="57"/>
    </row>
    <row r="34">
      <c r="A34" s="27"/>
      <c r="B34" s="27"/>
      <c r="C34" s="27"/>
      <c r="D34" s="580"/>
      <c r="E34" s="58"/>
      <c r="F34" s="598" t="str">
        <f t="array" ref="F34">IFERROR(INDEX('👾 RAW MAPPING'!$A$19:$A$55, SMALL(IF('👾 RAW MAPPING'!$A$19:$A$55&lt;&gt;"", ROW('👾 RAW MAPPING'!$A$19:$A$55)-ROW('👾 RAW MAPPING'!$A$19)+1), ROW(F34)-ROW(F$18)+1)), "")</f>
        <v/>
      </c>
      <c r="G34" s="599"/>
      <c r="H34" s="598" t="str">
        <f t="array" ref="H34">IFERROR(INDEX('👾 RAW MAPPING'!$C$19:$C$55, SMALL(IF('👾 RAW MAPPING'!$C$19:$C$55&lt;&gt;"", ROW('👾 RAW MAPPING'!$C$19:$C$55)-ROW('👾 RAW MAPPING'!$C$19)+1), ROW(H34)-ROW(H$18)+1)), "")</f>
        <v/>
      </c>
      <c r="I34" s="599"/>
      <c r="J34" s="598" t="str">
        <f t="array" ref="J34">IFERROR(INDEX('👾 RAW MAPPING'!$E$19:$E$55, SMALL(IF('👾 RAW MAPPING'!$E$19:$E$55&lt;&gt;"", ROW('👾 RAW MAPPING'!$E$19:$E$55)-ROW('👾 RAW MAPPING'!$E$19)+1), ROW(J34)-ROW(J$18)+1)), "")</f>
        <v/>
      </c>
      <c r="K34" s="599"/>
      <c r="L34" s="598" t="str">
        <f t="array" ref="L34">IFERROR(INDEX('👾 RAW MAPPING'!$G$19:$G$55, SMALL(IF('👾 RAW MAPPING'!$G$19:$G$55&lt;&gt;"", ROW('👾 RAW MAPPING'!$G$19:$G$55)-ROW('👾 RAW MAPPING'!$G$19)+1), ROW(L34)-ROW(L$18)+1)), "")</f>
        <v/>
      </c>
      <c r="M34" s="599"/>
      <c r="N34" s="598" t="str">
        <f t="array" ref="N34">IFERROR(INDEX('👾 RAW MAPPING'!$I$19:$I$55, SMALL(IF('👾 RAW MAPPING'!$I$19:$I$55&lt;&gt;"", ROW('👾 RAW MAPPING'!$I$19:$I$55)-ROW('👾 RAW MAPPING'!$I$19)+1), ROW(N34)-ROW(N$18)+1)), "")</f>
        <v/>
      </c>
      <c r="O34" s="599"/>
      <c r="P34" s="57"/>
    </row>
    <row r="35">
      <c r="A35" s="27"/>
      <c r="B35" s="27"/>
      <c r="C35" s="27"/>
      <c r="D35" s="591"/>
      <c r="E35" s="58"/>
      <c r="F35" s="598" t="str">
        <f t="array" ref="F35">IFERROR(INDEX('👾 RAW MAPPING'!$A$19:$A$55, SMALL(IF('👾 RAW MAPPING'!$A$19:$A$55&lt;&gt;"", ROW('👾 RAW MAPPING'!$A$19:$A$55)-ROW('👾 RAW MAPPING'!$A$19)+1), ROW(F35)-ROW(F$18)+1)), "")</f>
        <v/>
      </c>
      <c r="G35" s="599"/>
      <c r="H35" s="598" t="str">
        <f t="array" ref="H35">IFERROR(INDEX('👾 RAW MAPPING'!$C$19:$C$55, SMALL(IF('👾 RAW MAPPING'!$C$19:$C$55&lt;&gt;"", ROW('👾 RAW MAPPING'!$C$19:$C$55)-ROW('👾 RAW MAPPING'!$C$19)+1), ROW(H35)-ROW(H$18)+1)), "")</f>
        <v/>
      </c>
      <c r="I35" s="599"/>
      <c r="J35" s="598" t="str">
        <f t="array" ref="J35">IFERROR(INDEX('👾 RAW MAPPING'!$E$19:$E$55, SMALL(IF('👾 RAW MAPPING'!$E$19:$E$55&lt;&gt;"", ROW('👾 RAW MAPPING'!$E$19:$E$55)-ROW('👾 RAW MAPPING'!$E$19)+1), ROW(J35)-ROW(J$18)+1)), "")</f>
        <v/>
      </c>
      <c r="K35" s="599"/>
      <c r="L35" s="598" t="str">
        <f t="array" ref="L35">IFERROR(INDEX('👾 RAW MAPPING'!$G$19:$G$55, SMALL(IF('👾 RAW MAPPING'!$G$19:$G$55&lt;&gt;"", ROW('👾 RAW MAPPING'!$G$19:$G$55)-ROW('👾 RAW MAPPING'!$G$19)+1), ROW(L35)-ROW(L$18)+1)), "")</f>
        <v/>
      </c>
      <c r="M35" s="599"/>
      <c r="N35" s="598" t="str">
        <f t="array" ref="N35">IFERROR(INDEX('👾 RAW MAPPING'!$I$19:$I$55, SMALL(IF('👾 RAW MAPPING'!$I$19:$I$55&lt;&gt;"", ROW('👾 RAW MAPPING'!$I$19:$I$55)-ROW('👾 RAW MAPPING'!$I$19)+1), ROW(N35)-ROW(N$18)+1)), "")</f>
        <v/>
      </c>
      <c r="O35" s="599"/>
      <c r="P35" s="57"/>
    </row>
    <row r="36">
      <c r="A36" s="27"/>
      <c r="B36" s="27"/>
      <c r="C36" s="27"/>
      <c r="D36" s="591"/>
      <c r="E36" s="58"/>
      <c r="F36" s="598" t="str">
        <f t="array" ref="F36">IFERROR(INDEX('👾 RAW MAPPING'!$A$19:$A$55, SMALL(IF('👾 RAW MAPPING'!$A$19:$A$55&lt;&gt;"", ROW('👾 RAW MAPPING'!$A$19:$A$55)-ROW('👾 RAW MAPPING'!$A$19)+1), ROW(F36)-ROW(F$18)+1)), "")</f>
        <v/>
      </c>
      <c r="G36" s="599"/>
      <c r="H36" s="598" t="str">
        <f t="array" ref="H36">IFERROR(INDEX('👾 RAW MAPPING'!$C$19:$C$55, SMALL(IF('👾 RAW MAPPING'!$C$19:$C$55&lt;&gt;"", ROW('👾 RAW MAPPING'!$C$19:$C$55)-ROW('👾 RAW MAPPING'!$C$19)+1), ROW(H36)-ROW(H$18)+1)), "")</f>
        <v/>
      </c>
      <c r="I36" s="599"/>
      <c r="J36" s="598" t="str">
        <f t="array" ref="J36">IFERROR(INDEX('👾 RAW MAPPING'!$E$19:$E$55, SMALL(IF('👾 RAW MAPPING'!$E$19:$E$55&lt;&gt;"", ROW('👾 RAW MAPPING'!$E$19:$E$55)-ROW('👾 RAW MAPPING'!$E$19)+1), ROW(J36)-ROW(J$18)+1)), "")</f>
        <v/>
      </c>
      <c r="K36" s="599"/>
      <c r="L36" s="598" t="str">
        <f t="array" ref="L36">IFERROR(INDEX('👾 RAW MAPPING'!$G$19:$G$55, SMALL(IF('👾 RAW MAPPING'!$G$19:$G$55&lt;&gt;"", ROW('👾 RAW MAPPING'!$G$19:$G$55)-ROW('👾 RAW MAPPING'!$G$19)+1), ROW(L36)-ROW(L$18)+1)), "")</f>
        <v/>
      </c>
      <c r="M36" s="599"/>
      <c r="N36" s="598" t="str">
        <f t="array" ref="N36">IFERROR(INDEX('👾 RAW MAPPING'!$I$19:$I$55, SMALL(IF('👾 RAW MAPPING'!$I$19:$I$55&lt;&gt;"", ROW('👾 RAW MAPPING'!$I$19:$I$55)-ROW('👾 RAW MAPPING'!$I$19)+1), ROW(N36)-ROW(N$18)+1)), "")</f>
        <v/>
      </c>
      <c r="O36" s="599"/>
      <c r="P36" s="90"/>
    </row>
    <row r="37">
      <c r="A37" s="27"/>
      <c r="B37" s="27"/>
      <c r="C37" s="27"/>
      <c r="D37" s="580" t="s">
        <v>585</v>
      </c>
      <c r="E37" s="58"/>
      <c r="F37" s="600" t="str">
        <f>'🚀 Mobility program(s)'!M112</f>
        <v/>
      </c>
      <c r="G37" s="600"/>
      <c r="H37" s="600" t="str">
        <f>'🚀 Mobility program(s)'!M206</f>
        <v/>
      </c>
      <c r="I37" s="600"/>
      <c r="J37" s="600" t="str">
        <f>'🚀 Mobility program(s)'!M300</f>
        <v/>
      </c>
      <c r="K37" s="600"/>
      <c r="L37" s="600" t="str">
        <f>'🚀 Mobility program(s)'!M394</f>
        <v/>
      </c>
      <c r="M37" s="600"/>
      <c r="N37" s="600" t="str">
        <f>'🚀 Mobility program(s)'!M488</f>
        <v/>
      </c>
      <c r="O37" s="600"/>
      <c r="P37" s="57"/>
    </row>
    <row r="38">
      <c r="A38" s="27"/>
      <c r="B38" s="27"/>
      <c r="C38" s="27"/>
      <c r="D38" s="580" t="s">
        <v>586</v>
      </c>
      <c r="E38" s="58"/>
      <c r="F38" s="581" t="str">
        <f>'🚀 Mobility program(s)'!M113</f>
        <v/>
      </c>
      <c r="G38" s="575"/>
      <c r="H38" s="601" t="str">
        <f>'🚀 Mobility program(s)'!M207</f>
        <v/>
      </c>
      <c r="I38" s="601"/>
      <c r="J38" s="601" t="str">
        <f>'🚀 Mobility program(s)'!M301</f>
        <v/>
      </c>
      <c r="K38" s="601"/>
      <c r="L38" s="601" t="str">
        <f>'🚀 Mobility program(s)'!M395</f>
        <v/>
      </c>
      <c r="M38" s="601"/>
      <c r="N38" s="601" t="str">
        <f>'🚀 Mobility program(s)'!M489</f>
        <v/>
      </c>
      <c r="O38" s="602"/>
      <c r="P38" s="57"/>
    </row>
    <row r="39">
      <c r="A39" s="27"/>
      <c r="B39" s="27"/>
      <c r="C39" s="27"/>
      <c r="D39" s="580" t="s">
        <v>587</v>
      </c>
      <c r="E39" s="27"/>
      <c r="F39" s="603" t="str">
        <f>'🚀 Mobility program(s)'!E115</f>
        <v/>
      </c>
      <c r="G39" s="604"/>
      <c r="H39" s="605" t="str">
        <f>'🚀 Mobility program(s)'!E209</f>
        <v/>
      </c>
      <c r="I39" s="606"/>
      <c r="J39" s="605" t="str">
        <f>'🚀 Mobility program(s)'!E303</f>
        <v/>
      </c>
      <c r="K39" s="606"/>
      <c r="L39" s="605" t="str">
        <f>'🚀 Mobility program(s)'!E397</f>
        <v/>
      </c>
      <c r="M39" s="606"/>
      <c r="N39" s="605" t="str">
        <f>'🚀 Mobility program(s)'!E491</f>
        <v/>
      </c>
      <c r="O39" s="606"/>
      <c r="P39" s="57"/>
    </row>
    <row r="40">
      <c r="A40" s="27"/>
      <c r="B40" s="27"/>
      <c r="C40" s="27"/>
      <c r="D40" s="591"/>
      <c r="E40" s="27"/>
      <c r="F40" s="12"/>
      <c r="G40" s="604"/>
      <c r="H40" s="607"/>
      <c r="I40" s="604"/>
      <c r="J40" s="607"/>
      <c r="K40" s="604"/>
      <c r="L40" s="607"/>
      <c r="M40" s="604"/>
      <c r="N40" s="607"/>
      <c r="O40" s="604"/>
      <c r="P40" s="57"/>
    </row>
    <row r="41">
      <c r="A41" s="27"/>
      <c r="B41" s="27"/>
      <c r="C41" s="27"/>
      <c r="D41" s="591"/>
      <c r="E41" s="27"/>
      <c r="F41" s="12"/>
      <c r="G41" s="604"/>
      <c r="H41" s="607"/>
      <c r="I41" s="604"/>
      <c r="J41" s="607"/>
      <c r="K41" s="604"/>
      <c r="L41" s="607"/>
      <c r="M41" s="604"/>
      <c r="N41" s="607"/>
      <c r="O41" s="604"/>
      <c r="P41" s="57"/>
    </row>
    <row r="42">
      <c r="A42" s="27"/>
      <c r="B42" s="27"/>
      <c r="C42" s="27"/>
      <c r="D42" s="591"/>
      <c r="E42" s="27"/>
      <c r="F42" s="12"/>
      <c r="G42" s="604"/>
      <c r="H42" s="607"/>
      <c r="I42" s="604"/>
      <c r="J42" s="607"/>
      <c r="K42" s="604"/>
      <c r="L42" s="607"/>
      <c r="M42" s="604"/>
      <c r="N42" s="607"/>
      <c r="O42" s="604"/>
      <c r="P42" s="57"/>
    </row>
    <row r="43">
      <c r="A43" s="27"/>
      <c r="B43" s="27"/>
      <c r="C43" s="27"/>
      <c r="D43" s="591"/>
      <c r="E43" s="27"/>
      <c r="F43" s="12"/>
      <c r="G43" s="604"/>
      <c r="H43" s="607"/>
      <c r="I43" s="604"/>
      <c r="J43" s="607"/>
      <c r="K43" s="604"/>
      <c r="L43" s="607"/>
      <c r="M43" s="604"/>
      <c r="N43" s="607"/>
      <c r="O43" s="604"/>
      <c r="P43" s="57"/>
    </row>
    <row r="44">
      <c r="A44" s="27"/>
      <c r="B44" s="27"/>
      <c r="C44" s="27"/>
      <c r="D44" s="591"/>
      <c r="E44" s="27"/>
      <c r="F44" s="12"/>
      <c r="G44" s="604"/>
      <c r="H44" s="607"/>
      <c r="I44" s="604"/>
      <c r="J44" s="607"/>
      <c r="K44" s="604"/>
      <c r="L44" s="607"/>
      <c r="M44" s="604"/>
      <c r="N44" s="607"/>
      <c r="O44" s="604"/>
      <c r="P44" s="57"/>
    </row>
    <row r="45">
      <c r="A45" s="27"/>
      <c r="B45" s="27"/>
      <c r="C45" s="27"/>
      <c r="D45" s="591"/>
      <c r="E45" s="27"/>
      <c r="F45" s="12"/>
      <c r="G45" s="604"/>
      <c r="H45" s="607"/>
      <c r="I45" s="604"/>
      <c r="J45" s="607"/>
      <c r="K45" s="604"/>
      <c r="L45" s="607"/>
      <c r="M45" s="604"/>
      <c r="N45" s="607"/>
      <c r="O45" s="604"/>
      <c r="P45" s="57"/>
    </row>
    <row r="46">
      <c r="A46" s="27"/>
      <c r="B46" s="27"/>
      <c r="C46" s="27"/>
      <c r="D46" s="591"/>
      <c r="E46" s="27"/>
      <c r="F46" s="608"/>
      <c r="G46" s="608"/>
      <c r="H46" s="608"/>
      <c r="I46" s="608"/>
      <c r="J46" s="608"/>
      <c r="K46" s="608"/>
      <c r="L46" s="608"/>
      <c r="M46" s="608"/>
      <c r="N46" s="608"/>
      <c r="O46" s="608"/>
      <c r="P46" s="57"/>
    </row>
    <row r="47">
      <c r="A47" s="27"/>
      <c r="B47" s="27"/>
      <c r="C47" s="27"/>
      <c r="D47" s="591"/>
      <c r="E47" s="27"/>
      <c r="F47" s="609" t="s">
        <v>588</v>
      </c>
      <c r="G47" s="10"/>
      <c r="H47" s="10"/>
      <c r="I47" s="10"/>
      <c r="J47" s="10"/>
      <c r="K47" s="10"/>
      <c r="L47" s="10"/>
      <c r="M47" s="10"/>
      <c r="N47" s="11"/>
      <c r="O47" s="610" t="s">
        <v>589</v>
      </c>
      <c r="P47" s="87"/>
    </row>
    <row r="48">
      <c r="A48" s="27"/>
      <c r="B48" s="27"/>
      <c r="C48" s="27"/>
      <c r="D48" s="580" t="s">
        <v>590</v>
      </c>
      <c r="E48" s="58"/>
      <c r="F48" s="611"/>
      <c r="G48" s="395"/>
      <c r="H48" s="395"/>
      <c r="I48" s="395"/>
      <c r="J48" s="395"/>
      <c r="K48" s="395"/>
      <c r="L48" s="395"/>
      <c r="M48" s="395"/>
      <c r="N48" s="612"/>
      <c r="O48" s="613" t="str">
        <f t="shared" ref="O48:O53" si="1">IF(ISBLANK(F48), "", IF(O48="", NOW(), IF(F48&lt;&gt;F48, NOW(), O48)))</f>
        <v/>
      </c>
      <c r="P48" s="16"/>
    </row>
    <row r="49">
      <c r="A49" s="27"/>
      <c r="B49" s="27"/>
      <c r="C49" s="27"/>
      <c r="D49" s="591"/>
      <c r="E49" s="27"/>
      <c r="F49" s="614"/>
      <c r="G49" s="395"/>
      <c r="H49" s="395"/>
      <c r="I49" s="395"/>
      <c r="J49" s="395"/>
      <c r="K49" s="395"/>
      <c r="L49" s="395"/>
      <c r="M49" s="395"/>
      <c r="N49" s="612"/>
      <c r="O49" s="613" t="str">
        <f t="shared" si="1"/>
        <v/>
      </c>
      <c r="P49" s="16"/>
    </row>
    <row r="50">
      <c r="A50" s="110"/>
      <c r="B50" s="110"/>
      <c r="C50" s="110"/>
      <c r="D50" s="615"/>
      <c r="E50" s="110"/>
      <c r="F50" s="616"/>
      <c r="G50" s="395"/>
      <c r="H50" s="395"/>
      <c r="I50" s="395"/>
      <c r="J50" s="395"/>
      <c r="K50" s="395"/>
      <c r="L50" s="395"/>
      <c r="M50" s="395"/>
      <c r="N50" s="612"/>
      <c r="O50" s="613" t="str">
        <f t="shared" si="1"/>
        <v/>
      </c>
      <c r="P50" s="16"/>
    </row>
    <row r="51">
      <c r="A51" s="114"/>
      <c r="B51" s="114"/>
      <c r="C51" s="114"/>
      <c r="D51" s="617"/>
      <c r="E51" s="114"/>
      <c r="F51" s="616"/>
      <c r="G51" s="395"/>
      <c r="H51" s="395"/>
      <c r="I51" s="395"/>
      <c r="J51" s="395"/>
      <c r="K51" s="395"/>
      <c r="L51" s="395"/>
      <c r="M51" s="395"/>
      <c r="N51" s="612"/>
      <c r="O51" s="613" t="str">
        <f t="shared" si="1"/>
        <v/>
      </c>
      <c r="P51" s="16"/>
    </row>
    <row r="52">
      <c r="A52" s="114"/>
      <c r="B52" s="114"/>
      <c r="C52" s="114"/>
      <c r="D52" s="617"/>
      <c r="E52" s="114"/>
      <c r="F52" s="616"/>
      <c r="G52" s="395"/>
      <c r="H52" s="395"/>
      <c r="I52" s="395"/>
      <c r="J52" s="395"/>
      <c r="K52" s="395"/>
      <c r="L52" s="395"/>
      <c r="M52" s="395"/>
      <c r="N52" s="612"/>
      <c r="O52" s="613" t="str">
        <f t="shared" si="1"/>
        <v/>
      </c>
      <c r="P52" s="16"/>
    </row>
    <row r="53">
      <c r="A53" s="114"/>
      <c r="B53" s="618"/>
      <c r="C53" s="114"/>
      <c r="D53" s="617"/>
      <c r="E53" s="114"/>
      <c r="F53" s="616"/>
      <c r="G53" s="395"/>
      <c r="H53" s="395"/>
      <c r="I53" s="395"/>
      <c r="J53" s="395"/>
      <c r="K53" s="395"/>
      <c r="L53" s="395"/>
      <c r="M53" s="395"/>
      <c r="N53" s="612"/>
      <c r="O53" s="613" t="str">
        <f t="shared" si="1"/>
        <v/>
      </c>
      <c r="P53" s="16"/>
    </row>
    <row r="54">
      <c r="A54" s="27"/>
      <c r="B54" s="27"/>
      <c r="C54" s="27"/>
      <c r="D54" s="591"/>
      <c r="E54" s="27"/>
      <c r="F54" s="619"/>
      <c r="G54" s="619"/>
      <c r="H54" s="619"/>
      <c r="I54" s="619"/>
      <c r="J54" s="619"/>
      <c r="K54" s="619"/>
      <c r="L54" s="619"/>
      <c r="M54" s="619"/>
      <c r="N54" s="619"/>
      <c r="O54" s="619"/>
      <c r="P54" s="57"/>
    </row>
  </sheetData>
  <mergeCells count="126">
    <mergeCell ref="A2:A3"/>
    <mergeCell ref="B2:G3"/>
    <mergeCell ref="F13:O13"/>
    <mergeCell ref="H16:I16"/>
    <mergeCell ref="J16:K16"/>
    <mergeCell ref="L16:M16"/>
    <mergeCell ref="N16:O16"/>
    <mergeCell ref="L18:M18"/>
    <mergeCell ref="N18:O18"/>
    <mergeCell ref="L19:M19"/>
    <mergeCell ref="N19:O19"/>
    <mergeCell ref="L20:M20"/>
    <mergeCell ref="N20:O20"/>
    <mergeCell ref="F16:G16"/>
    <mergeCell ref="F17:G17"/>
    <mergeCell ref="H17:I17"/>
    <mergeCell ref="J17:K17"/>
    <mergeCell ref="L17:M17"/>
    <mergeCell ref="N17:O17"/>
    <mergeCell ref="F18:G18"/>
    <mergeCell ref="H18:I18"/>
    <mergeCell ref="J18:K18"/>
    <mergeCell ref="F19:G19"/>
    <mergeCell ref="H19:I19"/>
    <mergeCell ref="J19:K19"/>
    <mergeCell ref="H20:I20"/>
    <mergeCell ref="J20:K20"/>
    <mergeCell ref="L22:M22"/>
    <mergeCell ref="N22:O22"/>
    <mergeCell ref="L23:M23"/>
    <mergeCell ref="N23:O23"/>
    <mergeCell ref="L24:M24"/>
    <mergeCell ref="N24:O24"/>
    <mergeCell ref="F20:G20"/>
    <mergeCell ref="F21:G21"/>
    <mergeCell ref="H21:I21"/>
    <mergeCell ref="J21:K21"/>
    <mergeCell ref="L21:M21"/>
    <mergeCell ref="N21:O21"/>
    <mergeCell ref="F22:G22"/>
    <mergeCell ref="H22:I22"/>
    <mergeCell ref="J22:K22"/>
    <mergeCell ref="F23:G23"/>
    <mergeCell ref="H23:I23"/>
    <mergeCell ref="J23:K23"/>
    <mergeCell ref="H24:I24"/>
    <mergeCell ref="J24:K24"/>
    <mergeCell ref="L34:M34"/>
    <mergeCell ref="N34:O34"/>
    <mergeCell ref="F32:G32"/>
    <mergeCell ref="F33:G33"/>
    <mergeCell ref="H33:I33"/>
    <mergeCell ref="J33:K33"/>
    <mergeCell ref="L33:M33"/>
    <mergeCell ref="N33:O33"/>
    <mergeCell ref="F34:G34"/>
    <mergeCell ref="L30:M30"/>
    <mergeCell ref="N30:O30"/>
    <mergeCell ref="L31:M31"/>
    <mergeCell ref="N31:O31"/>
    <mergeCell ref="L32:M32"/>
    <mergeCell ref="N32:O32"/>
    <mergeCell ref="H30:I30"/>
    <mergeCell ref="J30:K30"/>
    <mergeCell ref="F31:G31"/>
    <mergeCell ref="H31:I31"/>
    <mergeCell ref="J31:K31"/>
    <mergeCell ref="H32:I32"/>
    <mergeCell ref="J32:K32"/>
    <mergeCell ref="F39:G45"/>
    <mergeCell ref="H39:I45"/>
    <mergeCell ref="J39:K45"/>
    <mergeCell ref="L39:M45"/>
    <mergeCell ref="N39:O45"/>
    <mergeCell ref="F47:N47"/>
    <mergeCell ref="O48:P48"/>
    <mergeCell ref="F48:N48"/>
    <mergeCell ref="F49:N49"/>
    <mergeCell ref="O49:P49"/>
    <mergeCell ref="F50:N50"/>
    <mergeCell ref="O50:P50"/>
    <mergeCell ref="F51:N51"/>
    <mergeCell ref="O51:P51"/>
    <mergeCell ref="L26:M26"/>
    <mergeCell ref="N26:O26"/>
    <mergeCell ref="L27:M27"/>
    <mergeCell ref="N27:O27"/>
    <mergeCell ref="L28:M28"/>
    <mergeCell ref="N28:O28"/>
    <mergeCell ref="F24:G24"/>
    <mergeCell ref="F25:G25"/>
    <mergeCell ref="H25:I25"/>
    <mergeCell ref="J25:K25"/>
    <mergeCell ref="L25:M25"/>
    <mergeCell ref="N25:O25"/>
    <mergeCell ref="F26:G26"/>
    <mergeCell ref="H26:I26"/>
    <mergeCell ref="J26:K26"/>
    <mergeCell ref="F27:G27"/>
    <mergeCell ref="H27:I27"/>
    <mergeCell ref="J27:K27"/>
    <mergeCell ref="H28:I28"/>
    <mergeCell ref="J28:K28"/>
    <mergeCell ref="F28:G28"/>
    <mergeCell ref="F29:G29"/>
    <mergeCell ref="H29:I29"/>
    <mergeCell ref="J29:K29"/>
    <mergeCell ref="L29:M29"/>
    <mergeCell ref="N29:O29"/>
    <mergeCell ref="F30:G30"/>
    <mergeCell ref="F36:G36"/>
    <mergeCell ref="H36:I36"/>
    <mergeCell ref="J36:K36"/>
    <mergeCell ref="L36:M36"/>
    <mergeCell ref="N36:O36"/>
    <mergeCell ref="H34:I34"/>
    <mergeCell ref="J34:K34"/>
    <mergeCell ref="F35:G35"/>
    <mergeCell ref="H35:I35"/>
    <mergeCell ref="J35:K35"/>
    <mergeCell ref="L35:M35"/>
    <mergeCell ref="N35:O35"/>
    <mergeCell ref="F52:N52"/>
    <mergeCell ref="O52:P52"/>
    <mergeCell ref="F53:N53"/>
    <mergeCell ref="O53:P53"/>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3" max="3" width="38.0"/>
  </cols>
  <sheetData>
    <row r="1">
      <c r="A1" s="620" t="s">
        <v>591</v>
      </c>
      <c r="B1" s="620" t="s">
        <v>592</v>
      </c>
      <c r="C1" s="620" t="s">
        <v>79</v>
      </c>
      <c r="D1" s="620" t="s">
        <v>593</v>
      </c>
      <c r="E1" s="620" t="s">
        <v>594</v>
      </c>
      <c r="F1" s="620" t="s">
        <v>595</v>
      </c>
      <c r="G1" s="620" t="s">
        <v>596</v>
      </c>
      <c r="H1" s="621" t="s">
        <v>597</v>
      </c>
      <c r="I1" s="620" t="s">
        <v>598</v>
      </c>
      <c r="J1" s="620" t="s">
        <v>599</v>
      </c>
      <c r="K1" s="620" t="s">
        <v>600</v>
      </c>
      <c r="L1" s="620" t="s">
        <v>601</v>
      </c>
      <c r="M1" s="620" t="s">
        <v>602</v>
      </c>
      <c r="N1" s="621" t="s">
        <v>603</v>
      </c>
      <c r="O1" s="620" t="s">
        <v>604</v>
      </c>
      <c r="P1" s="620" t="s">
        <v>605</v>
      </c>
      <c r="Q1" s="620" t="s">
        <v>606</v>
      </c>
      <c r="R1" s="620" t="s">
        <v>607</v>
      </c>
      <c r="S1" s="620" t="s">
        <v>608</v>
      </c>
      <c r="T1" s="620" t="s">
        <v>609</v>
      </c>
      <c r="U1" s="621" t="s">
        <v>610</v>
      </c>
      <c r="V1" s="620" t="s">
        <v>611</v>
      </c>
      <c r="W1" s="620" t="s">
        <v>612</v>
      </c>
      <c r="X1" s="620" t="s">
        <v>613</v>
      </c>
      <c r="Y1" s="620"/>
      <c r="Z1" s="620"/>
      <c r="AA1" s="620"/>
      <c r="AB1" s="620"/>
      <c r="AC1" s="620"/>
      <c r="AD1" s="620"/>
      <c r="AE1" s="620"/>
      <c r="AF1" s="620"/>
      <c r="AG1" s="620"/>
      <c r="AH1" s="620"/>
      <c r="AI1" s="620"/>
      <c r="AJ1" s="620"/>
      <c r="AK1" s="620"/>
      <c r="AL1" s="620"/>
      <c r="AM1" s="620"/>
      <c r="AN1" s="620"/>
      <c r="AO1" s="620"/>
      <c r="AP1" s="620"/>
      <c r="AQ1" s="620"/>
      <c r="AR1" s="620"/>
      <c r="AS1" s="620"/>
      <c r="AT1" s="620"/>
      <c r="AU1" s="620"/>
      <c r="AV1" s="620"/>
      <c r="AW1" s="620"/>
      <c r="AX1" s="620"/>
      <c r="AY1" s="620"/>
      <c r="AZ1" s="620"/>
      <c r="BA1" s="620"/>
      <c r="BB1" s="620"/>
      <c r="BC1" s="620"/>
      <c r="BD1" s="620"/>
      <c r="BE1" s="620"/>
      <c r="BF1" s="620"/>
      <c r="BG1" s="620"/>
      <c r="BH1" s="620"/>
      <c r="BI1" s="620"/>
      <c r="BJ1" s="620"/>
      <c r="BK1" s="620"/>
      <c r="BL1" s="620"/>
      <c r="BM1" s="620"/>
      <c r="BN1" s="620"/>
      <c r="BO1" s="620"/>
      <c r="BP1" s="620"/>
      <c r="BQ1" s="620"/>
      <c r="BR1" s="620"/>
      <c r="BS1" s="620"/>
      <c r="BT1" s="620"/>
      <c r="BU1" s="620"/>
      <c r="BV1" s="620"/>
      <c r="BW1" s="620"/>
      <c r="BX1" s="620"/>
      <c r="BY1" s="620"/>
      <c r="BZ1" s="620"/>
      <c r="CA1" s="620"/>
      <c r="CB1" s="620"/>
      <c r="CC1" s="620"/>
      <c r="CD1" s="620"/>
      <c r="CE1" s="620"/>
      <c r="CF1" s="620"/>
      <c r="CG1" s="620"/>
      <c r="CH1" s="620"/>
      <c r="CI1" s="620"/>
      <c r="CJ1" s="620"/>
      <c r="CK1" s="620"/>
      <c r="CL1" s="620"/>
      <c r="CM1" s="620"/>
      <c r="CN1" s="620"/>
      <c r="CO1" s="620"/>
      <c r="CP1" s="620"/>
      <c r="CQ1" s="620"/>
      <c r="CR1" s="620"/>
      <c r="CS1" s="620"/>
      <c r="CT1" s="620"/>
      <c r="CU1" s="620"/>
      <c r="CV1" s="620"/>
      <c r="CW1" s="620"/>
      <c r="CX1" s="620"/>
      <c r="CY1" s="620"/>
      <c r="CZ1" s="620"/>
      <c r="DA1" s="620"/>
      <c r="DB1" s="620"/>
      <c r="DC1" s="620"/>
      <c r="DD1" s="620"/>
      <c r="DE1" s="620"/>
      <c r="DF1" s="620"/>
      <c r="DG1" s="620"/>
      <c r="DH1" s="620"/>
      <c r="DI1" s="620"/>
      <c r="DJ1" s="620"/>
      <c r="DK1" s="620"/>
      <c r="DL1" s="620"/>
      <c r="DM1" s="620"/>
      <c r="DN1" s="620"/>
      <c r="DO1" s="620"/>
      <c r="DP1" s="620"/>
      <c r="DQ1" s="620"/>
      <c r="DR1" s="620"/>
      <c r="DS1" s="620"/>
      <c r="DT1" s="620"/>
      <c r="DU1" s="620"/>
      <c r="DV1" s="620"/>
      <c r="DW1" s="620"/>
      <c r="DX1" s="620"/>
    </row>
    <row r="2">
      <c r="A2" s="622" t="str">
        <f t="array" ref="A2">IFERROR(INDEX('👾 RAW MAPPING'!$A$59:$A$73, SMALL(IF('👾 RAW MAPPING'!$A$59:$A$73&lt;&gt;"", ROW('👾 RAW MAPPING'!$A$59:$A$73)-ROW('👾 RAW MAPPING'!$A$59)+1), ROW(A2)-ROW(A$2)+1)), "")</f>
        <v/>
      </c>
      <c r="B2" s="622" t="str">
        <f t="array" ref="B2">IFERROR(INDEX('👾 RAW MAPPING'!$B$59:$B$73, SMALL(IF('👾 RAW MAPPING'!$B$59:$B$73&lt;&gt;"", ROW('👾 RAW MAPPING'!$B$59:$B$73)-ROW('👾 RAW MAPPING'!$B$59)+1), ROW(B2)-ROW(B$2)+1)), "")</f>
        <v/>
      </c>
      <c r="C2" s="622" t="str">
        <f t="array" ref="C2">IFERROR(INDEX('👾 RAW MAPPING'!$C$59:$C$73, SMALL(IF('👾 RAW MAPPING'!$C$59:$C$73&lt;&gt;"", ROW('👾 RAW MAPPING'!$C$59:$C$73)-ROW('👾 RAW MAPPING'!$C$59)+1), ROW(C2)-ROW(C$2)+1)), "")</f>
        <v/>
      </c>
      <c r="D2" s="623"/>
      <c r="E2" s="623"/>
      <c r="F2" s="622" t="str">
        <f t="array" ref="F2">IFERROR(INDEX('👾 RAW MAPPING'!$F$59:$F$73, SMALL(IF('👾 RAW MAPPING'!$F$59:$F$73&lt;&gt;"", ROW('👾 RAW MAPPING'!$F$59:$F$73)-ROW('👾 RAW MAPPING'!$F$59)+1), ROW(F2)-ROW(F$2)+1)), "")</f>
        <v/>
      </c>
      <c r="G2" s="622" t="str">
        <f t="array" ref="G2">IFERROR(INDEX('👾 RAW MAPPING'!$G$59:$G$73, SMALL(IF('👾 RAW MAPPING'!$G$59:$G$73&lt;&gt;"", ROW('👾 RAW MAPPING'!$G$59:$G$73)-ROW('👾 RAW MAPPING'!$G$59)+1), ROW(G2)-ROW(G$2)+1)), "")</f>
        <v/>
      </c>
      <c r="H2" s="623"/>
      <c r="I2" s="623"/>
      <c r="J2" s="623"/>
      <c r="K2" s="623"/>
      <c r="L2" s="623"/>
      <c r="M2" s="622" t="str">
        <f t="array" ref="M2">IFERROR(INDEX('👾 RAW MAPPING'!$M$59:$M$73, SMALL(IF('👾 RAW MAPPING'!$M$59:$M$73&lt;&gt;"", ROW('👾 RAW MAPPING'!$M$59:$M$73)-ROW('👾 RAW MAPPING'!$M$59)+1), ROW(M2)-ROW(M$2)+1)), "")</f>
        <v/>
      </c>
      <c r="N2" s="624" t="str">
        <f t="shared" ref="N2:N16" si="1">IF(A2&lt;&gt;"",TODAY(),"")</f>
        <v/>
      </c>
      <c r="O2" s="623"/>
      <c r="P2" s="623"/>
      <c r="Q2" s="623"/>
      <c r="R2" s="623"/>
      <c r="S2" s="623" t="str">
        <f t="shared" ref="S2:S16" si="2">IF(A2&lt;&gt;"","yes","")</f>
        <v/>
      </c>
      <c r="T2" s="623"/>
      <c r="U2" s="624" t="str">
        <f t="shared" ref="U2:U16" si="3">IF(A2&lt;&gt;"",TODAY(),"")</f>
        <v/>
      </c>
      <c r="V2" s="623"/>
      <c r="W2" s="623"/>
      <c r="X2" s="623"/>
      <c r="Y2" s="623"/>
      <c r="Z2" s="623"/>
      <c r="AA2" s="623"/>
      <c r="AB2" s="623"/>
      <c r="AC2" s="623"/>
      <c r="AD2" s="623"/>
      <c r="AE2" s="623"/>
      <c r="AF2" s="623"/>
      <c r="AG2" s="623"/>
      <c r="AH2" s="623"/>
      <c r="AI2" s="623"/>
      <c r="AJ2" s="623"/>
      <c r="AK2" s="623"/>
      <c r="AL2" s="623"/>
      <c r="AM2" s="623"/>
      <c r="AN2" s="623"/>
      <c r="AO2" s="623"/>
      <c r="AP2" s="623"/>
      <c r="AQ2" s="623"/>
      <c r="AR2" s="623"/>
      <c r="AS2" s="623"/>
      <c r="AT2" s="623"/>
      <c r="AU2" s="623"/>
      <c r="AV2" s="623"/>
      <c r="AW2" s="623"/>
      <c r="AX2" s="623"/>
      <c r="AY2" s="623"/>
      <c r="AZ2" s="623"/>
      <c r="BA2" s="623"/>
      <c r="BB2" s="623"/>
      <c r="BC2" s="623"/>
      <c r="BD2" s="623"/>
      <c r="BE2" s="623"/>
      <c r="BF2" s="623"/>
      <c r="BG2" s="623"/>
      <c r="BH2" s="623"/>
      <c r="BI2" s="623"/>
      <c r="BJ2" s="623"/>
      <c r="BK2" s="623"/>
      <c r="BL2" s="623"/>
      <c r="BM2" s="623"/>
      <c r="BN2" s="623"/>
      <c r="BO2" s="623"/>
      <c r="BP2" s="623"/>
      <c r="BQ2" s="623"/>
      <c r="BR2" s="623"/>
      <c r="BS2" s="623"/>
      <c r="BT2" s="623"/>
      <c r="BU2" s="623"/>
      <c r="BV2" s="623"/>
      <c r="BW2" s="623"/>
      <c r="BX2" s="623"/>
      <c r="BY2" s="623"/>
      <c r="BZ2" s="623"/>
      <c r="CA2" s="623"/>
      <c r="CB2" s="623"/>
      <c r="CC2" s="623"/>
      <c r="CD2" s="623"/>
      <c r="CE2" s="623"/>
      <c r="CF2" s="623"/>
      <c r="CG2" s="623"/>
      <c r="CH2" s="623"/>
      <c r="CI2" s="623"/>
      <c r="CJ2" s="623"/>
      <c r="CK2" s="623"/>
      <c r="CL2" s="623"/>
      <c r="CM2" s="623"/>
      <c r="CN2" s="623"/>
      <c r="CO2" s="623"/>
      <c r="CP2" s="623"/>
      <c r="CQ2" s="623"/>
      <c r="CR2" s="623"/>
      <c r="CS2" s="623"/>
      <c r="CT2" s="623"/>
      <c r="CU2" s="623"/>
      <c r="CV2" s="623"/>
      <c r="CW2" s="623"/>
      <c r="CX2" s="623"/>
      <c r="CY2" s="623"/>
      <c r="CZ2" s="623"/>
      <c r="DA2" s="623"/>
      <c r="DB2" s="623"/>
      <c r="DC2" s="623"/>
      <c r="DD2" s="623"/>
      <c r="DE2" s="623"/>
      <c r="DF2" s="623"/>
      <c r="DG2" s="623"/>
      <c r="DH2" s="623"/>
      <c r="DI2" s="623"/>
      <c r="DJ2" s="623"/>
      <c r="DK2" s="623"/>
      <c r="DL2" s="623"/>
      <c r="DM2" s="623"/>
      <c r="DN2" s="623"/>
      <c r="DO2" s="623"/>
      <c r="DP2" s="623"/>
      <c r="DQ2" s="623"/>
      <c r="DR2" s="623"/>
      <c r="DS2" s="623"/>
      <c r="DT2" s="623"/>
      <c r="DU2" s="623"/>
      <c r="DV2" s="623"/>
      <c r="DW2" s="623"/>
      <c r="DX2" s="623"/>
    </row>
    <row r="3">
      <c r="A3" s="622" t="str">
        <f t="array" ref="A3">IFERROR(INDEX('👾 RAW MAPPING'!$A$59:$A$73, SMALL(IF('👾 RAW MAPPING'!$A$59:$A$73&lt;&gt;"", ROW('👾 RAW MAPPING'!$A$59:$A$73)-ROW('👾 RAW MAPPING'!$A$59)+1), ROW(A3)-ROW(A$2)+1)), "")</f>
        <v/>
      </c>
      <c r="B3" s="622" t="str">
        <f t="array" ref="B3">IFERROR(INDEX('👾 RAW MAPPING'!$B$59:$B$73, SMALL(IF('👾 RAW MAPPING'!$B$59:$B$73&lt;&gt;"", ROW('👾 RAW MAPPING'!$B$59:$B$73)-ROW('👾 RAW MAPPING'!$B$59)+1), ROW(B3)-ROW(B$2)+1)), "")</f>
        <v/>
      </c>
      <c r="C3" s="622" t="str">
        <f t="array" ref="C3">IFERROR(INDEX('👾 RAW MAPPING'!$C$59:$C$73, SMALL(IF('👾 RAW MAPPING'!$C$59:$C$73&lt;&gt;"", ROW('👾 RAW MAPPING'!$C$59:$C$73)-ROW('👾 RAW MAPPING'!$C$59)+1), ROW(C3)-ROW(C$2)+1)), "")</f>
        <v/>
      </c>
      <c r="D3" s="623"/>
      <c r="E3" s="623"/>
      <c r="F3" s="622" t="str">
        <f t="array" ref="F3">IFERROR(INDEX('👾 RAW MAPPING'!$F$59:$F$73, SMALL(IF('👾 RAW MAPPING'!$F$59:$F$73&lt;&gt;"", ROW('👾 RAW MAPPING'!$F$59:$F$73)-ROW('👾 RAW MAPPING'!$F$59)+1), ROW(F3)-ROW(F$2)+1)), "")</f>
        <v/>
      </c>
      <c r="G3" s="622" t="str">
        <f t="array" ref="G3">IFERROR(INDEX('👾 RAW MAPPING'!$G$59:$G$73, SMALL(IF('👾 RAW MAPPING'!$G$59:$G$73&lt;&gt;"", ROW('👾 RAW MAPPING'!$G$59:$G$73)-ROW('👾 RAW MAPPING'!$G$59)+1), ROW(G3)-ROW(G$2)+1)), "")</f>
        <v/>
      </c>
      <c r="H3" s="623"/>
      <c r="I3" s="623"/>
      <c r="J3" s="623"/>
      <c r="K3" s="623"/>
      <c r="L3" s="623"/>
      <c r="M3" s="622" t="str">
        <f t="array" ref="M3">IFERROR(INDEX('👾 RAW MAPPING'!$M$59:$M$73, SMALL(IF('👾 RAW MAPPING'!$M$59:$M$73&lt;&gt;"", ROW('👾 RAW MAPPING'!$M$59:$M$73)-ROW('👾 RAW MAPPING'!$M$59)+1), ROW(M3)-ROW(M$2)+1)), "")</f>
        <v/>
      </c>
      <c r="N3" s="624" t="str">
        <f t="shared" si="1"/>
        <v/>
      </c>
      <c r="O3" s="623"/>
      <c r="P3" s="623"/>
      <c r="Q3" s="623"/>
      <c r="R3" s="623"/>
      <c r="S3" s="623" t="str">
        <f t="shared" si="2"/>
        <v/>
      </c>
      <c r="T3" s="623"/>
      <c r="U3" s="624" t="str">
        <f t="shared" si="3"/>
        <v/>
      </c>
      <c r="V3" s="623"/>
      <c r="W3" s="623"/>
      <c r="X3" s="623"/>
      <c r="Y3" s="623"/>
      <c r="Z3" s="623"/>
      <c r="AA3" s="623"/>
      <c r="AB3" s="623"/>
      <c r="AC3" s="623"/>
      <c r="AD3" s="623"/>
      <c r="AE3" s="623"/>
      <c r="AF3" s="623"/>
      <c r="AG3" s="623"/>
      <c r="AH3" s="623"/>
      <c r="AI3" s="623"/>
      <c r="AJ3" s="623"/>
      <c r="AK3" s="623"/>
      <c r="AL3" s="623"/>
      <c r="AM3" s="623"/>
      <c r="AN3" s="623"/>
      <c r="AO3" s="623"/>
      <c r="AP3" s="623"/>
      <c r="AQ3" s="623"/>
      <c r="AR3" s="623"/>
      <c r="AS3" s="623"/>
      <c r="AT3" s="623"/>
      <c r="AU3" s="623"/>
      <c r="AV3" s="623"/>
      <c r="AW3" s="623"/>
      <c r="AX3" s="623"/>
      <c r="AY3" s="623"/>
      <c r="AZ3" s="623"/>
      <c r="BA3" s="623"/>
      <c r="BB3" s="623"/>
      <c r="BC3" s="623"/>
      <c r="BD3" s="623"/>
      <c r="BE3" s="623"/>
      <c r="BF3" s="623"/>
      <c r="BG3" s="623"/>
      <c r="BH3" s="623"/>
      <c r="BI3" s="623"/>
      <c r="BJ3" s="623"/>
      <c r="BK3" s="623"/>
      <c r="BL3" s="623"/>
      <c r="BM3" s="623"/>
      <c r="BN3" s="623"/>
      <c r="BO3" s="623"/>
      <c r="BP3" s="623"/>
      <c r="BQ3" s="623"/>
      <c r="BR3" s="623"/>
      <c r="BS3" s="623"/>
      <c r="BT3" s="623"/>
      <c r="BU3" s="623"/>
      <c r="BV3" s="623"/>
      <c r="BW3" s="623"/>
      <c r="BX3" s="623"/>
      <c r="BY3" s="623"/>
      <c r="BZ3" s="623"/>
      <c r="CA3" s="623"/>
      <c r="CB3" s="623"/>
      <c r="CC3" s="623"/>
      <c r="CD3" s="623"/>
      <c r="CE3" s="623"/>
      <c r="CF3" s="623"/>
      <c r="CG3" s="623"/>
      <c r="CH3" s="623"/>
      <c r="CI3" s="623"/>
      <c r="CJ3" s="623"/>
      <c r="CK3" s="623"/>
      <c r="CL3" s="623"/>
      <c r="CM3" s="623"/>
      <c r="CN3" s="623"/>
      <c r="CO3" s="623"/>
      <c r="CP3" s="623"/>
      <c r="CQ3" s="623"/>
      <c r="CR3" s="623"/>
      <c r="CS3" s="623"/>
      <c r="CT3" s="623"/>
      <c r="CU3" s="623"/>
      <c r="CV3" s="623"/>
      <c r="CW3" s="623"/>
      <c r="CX3" s="623"/>
      <c r="CY3" s="623"/>
      <c r="CZ3" s="623"/>
      <c r="DA3" s="623"/>
      <c r="DB3" s="623"/>
      <c r="DC3" s="623"/>
      <c r="DD3" s="623"/>
      <c r="DE3" s="623"/>
      <c r="DF3" s="623"/>
      <c r="DG3" s="623"/>
      <c r="DH3" s="623"/>
      <c r="DI3" s="623"/>
      <c r="DJ3" s="623"/>
      <c r="DK3" s="623"/>
      <c r="DL3" s="623"/>
      <c r="DM3" s="623"/>
      <c r="DN3" s="623"/>
      <c r="DO3" s="623"/>
      <c r="DP3" s="623"/>
      <c r="DQ3" s="623"/>
      <c r="DR3" s="623"/>
      <c r="DS3" s="623"/>
      <c r="DT3" s="623"/>
      <c r="DU3" s="623"/>
      <c r="DV3" s="623"/>
      <c r="DW3" s="623"/>
      <c r="DX3" s="623"/>
    </row>
    <row r="4">
      <c r="A4" s="622" t="str">
        <f t="array" ref="A4">IFERROR(INDEX('👾 RAW MAPPING'!$A$59:$A$73, SMALL(IF('👾 RAW MAPPING'!$A$59:$A$73&lt;&gt;"", ROW('👾 RAW MAPPING'!$A$59:$A$73)-ROW('👾 RAW MAPPING'!$A$59)+1), ROW(A4)-ROW(A$2)+1)), "")</f>
        <v/>
      </c>
      <c r="B4" s="622" t="str">
        <f t="array" ref="B4">IFERROR(INDEX('👾 RAW MAPPING'!$B$59:$B$73, SMALL(IF('👾 RAW MAPPING'!$B$59:$B$73&lt;&gt;"", ROW('👾 RAW MAPPING'!$B$59:$B$73)-ROW('👾 RAW MAPPING'!$B$59)+1), ROW(B4)-ROW(B$2)+1)), "")</f>
        <v/>
      </c>
      <c r="C4" s="622" t="str">
        <f t="array" ref="C4">IFERROR(INDEX('👾 RAW MAPPING'!$C$59:$C$73, SMALL(IF('👾 RAW MAPPING'!$C$59:$C$73&lt;&gt;"", ROW('👾 RAW MAPPING'!$C$59:$C$73)-ROW('👾 RAW MAPPING'!$C$59)+1), ROW(C4)-ROW(C$2)+1)), "")</f>
        <v/>
      </c>
      <c r="D4" s="623"/>
      <c r="E4" s="623"/>
      <c r="F4" s="622" t="str">
        <f t="array" ref="F4">IFERROR(INDEX('👾 RAW MAPPING'!$F$59:$F$73, SMALL(IF('👾 RAW MAPPING'!$F$59:$F$73&lt;&gt;"", ROW('👾 RAW MAPPING'!$F$59:$F$73)-ROW('👾 RAW MAPPING'!$F$59)+1), ROW(F4)-ROW(F$2)+1)), "")</f>
        <v/>
      </c>
      <c r="G4" s="622" t="str">
        <f t="array" ref="G4">IFERROR(INDEX('👾 RAW MAPPING'!$G$59:$G$73, SMALL(IF('👾 RAW MAPPING'!$G$59:$G$73&lt;&gt;"", ROW('👾 RAW MAPPING'!$G$59:$G$73)-ROW('👾 RAW MAPPING'!$G$59)+1), ROW(G4)-ROW(G$2)+1)), "")</f>
        <v/>
      </c>
      <c r="H4" s="623"/>
      <c r="I4" s="623"/>
      <c r="J4" s="623"/>
      <c r="K4" s="623"/>
      <c r="L4" s="623"/>
      <c r="M4" s="622" t="str">
        <f t="array" ref="M4">IFERROR(INDEX('👾 RAW MAPPING'!$M$59:$M$73, SMALL(IF('👾 RAW MAPPING'!$M$59:$M$73&lt;&gt;"", ROW('👾 RAW MAPPING'!$M$59:$M$73)-ROW('👾 RAW MAPPING'!$M$59)+1), ROW(M4)-ROW(M$2)+1)), "")</f>
        <v/>
      </c>
      <c r="N4" s="624" t="str">
        <f t="shared" si="1"/>
        <v/>
      </c>
      <c r="O4" s="623"/>
      <c r="P4" s="623"/>
      <c r="Q4" s="623"/>
      <c r="R4" s="623"/>
      <c r="S4" s="623" t="str">
        <f t="shared" si="2"/>
        <v/>
      </c>
      <c r="T4" s="623"/>
      <c r="U4" s="624" t="str">
        <f t="shared" si="3"/>
        <v/>
      </c>
      <c r="V4" s="623"/>
      <c r="W4" s="623"/>
      <c r="X4" s="623"/>
      <c r="Y4" s="623"/>
      <c r="Z4" s="623"/>
      <c r="AA4" s="623"/>
      <c r="AB4" s="623"/>
      <c r="AC4" s="623"/>
      <c r="AD4" s="623"/>
      <c r="AE4" s="623"/>
      <c r="AF4" s="623"/>
      <c r="AG4" s="623"/>
      <c r="AH4" s="623"/>
      <c r="AI4" s="623"/>
      <c r="AJ4" s="623"/>
      <c r="AK4" s="623"/>
      <c r="AL4" s="623"/>
      <c r="AM4" s="623"/>
      <c r="AN4" s="623"/>
      <c r="AO4" s="623"/>
      <c r="AP4" s="623"/>
      <c r="AQ4" s="623"/>
      <c r="AR4" s="623"/>
      <c r="AS4" s="623"/>
      <c r="AT4" s="623"/>
      <c r="AU4" s="623"/>
      <c r="AV4" s="623"/>
      <c r="AW4" s="623"/>
      <c r="AX4" s="623"/>
      <c r="AY4" s="623"/>
      <c r="AZ4" s="623"/>
      <c r="BA4" s="623"/>
      <c r="BB4" s="623"/>
      <c r="BC4" s="623"/>
      <c r="BD4" s="623"/>
      <c r="BE4" s="623"/>
      <c r="BF4" s="623"/>
      <c r="BG4" s="623"/>
      <c r="BH4" s="623"/>
      <c r="BI4" s="623"/>
      <c r="BJ4" s="623"/>
      <c r="BK4" s="623"/>
      <c r="BL4" s="623"/>
      <c r="BM4" s="623"/>
      <c r="BN4" s="623"/>
      <c r="BO4" s="623"/>
      <c r="BP4" s="623"/>
      <c r="BQ4" s="623"/>
      <c r="BR4" s="623"/>
      <c r="BS4" s="623"/>
      <c r="BT4" s="623"/>
      <c r="BU4" s="623"/>
      <c r="BV4" s="623"/>
      <c r="BW4" s="623"/>
      <c r="BX4" s="623"/>
      <c r="BY4" s="623"/>
      <c r="BZ4" s="623"/>
      <c r="CA4" s="623"/>
      <c r="CB4" s="623"/>
      <c r="CC4" s="623"/>
      <c r="CD4" s="623"/>
      <c r="CE4" s="623"/>
      <c r="CF4" s="623"/>
      <c r="CG4" s="623"/>
      <c r="CH4" s="623"/>
      <c r="CI4" s="623"/>
      <c r="CJ4" s="623"/>
      <c r="CK4" s="623"/>
      <c r="CL4" s="623"/>
      <c r="CM4" s="623"/>
      <c r="CN4" s="623"/>
      <c r="CO4" s="623"/>
      <c r="CP4" s="623"/>
      <c r="CQ4" s="623"/>
      <c r="CR4" s="623"/>
      <c r="CS4" s="623"/>
      <c r="CT4" s="623"/>
      <c r="CU4" s="623"/>
      <c r="CV4" s="623"/>
      <c r="CW4" s="623"/>
      <c r="CX4" s="623"/>
      <c r="CY4" s="623"/>
      <c r="CZ4" s="623"/>
      <c r="DA4" s="623"/>
      <c r="DB4" s="623"/>
      <c r="DC4" s="623"/>
      <c r="DD4" s="623"/>
      <c r="DE4" s="623"/>
      <c r="DF4" s="623"/>
      <c r="DG4" s="623"/>
      <c r="DH4" s="623"/>
      <c r="DI4" s="623"/>
      <c r="DJ4" s="623"/>
      <c r="DK4" s="623"/>
      <c r="DL4" s="623"/>
      <c r="DM4" s="623"/>
      <c r="DN4" s="623"/>
      <c r="DO4" s="623"/>
      <c r="DP4" s="623"/>
      <c r="DQ4" s="623"/>
      <c r="DR4" s="623"/>
      <c r="DS4" s="623"/>
      <c r="DT4" s="623"/>
      <c r="DU4" s="623"/>
      <c r="DV4" s="623"/>
      <c r="DW4" s="623"/>
      <c r="DX4" s="623"/>
    </row>
    <row r="5">
      <c r="A5" s="622" t="str">
        <f t="array" ref="A5">IFERROR(INDEX('👾 RAW MAPPING'!$A$59:$A$73, SMALL(IF('👾 RAW MAPPING'!$A$59:$A$73&lt;&gt;"", ROW('👾 RAW MAPPING'!$A$59:$A$73)-ROW('👾 RAW MAPPING'!$A$59)+1), ROW(A5)-ROW(A$2)+1)), "")</f>
        <v/>
      </c>
      <c r="B5" s="622" t="str">
        <f t="array" ref="B5">IFERROR(INDEX('👾 RAW MAPPING'!$B$59:$B$73, SMALL(IF('👾 RAW MAPPING'!$B$59:$B$73&lt;&gt;"", ROW('👾 RAW MAPPING'!$B$59:$B$73)-ROW('👾 RAW MAPPING'!$B$59)+1), ROW(B5)-ROW(B$2)+1)), "")</f>
        <v/>
      </c>
      <c r="C5" s="622" t="str">
        <f t="array" ref="C5">IFERROR(INDEX('👾 RAW MAPPING'!$C$59:$C$73, SMALL(IF('👾 RAW MAPPING'!$C$59:$C$73&lt;&gt;"", ROW('👾 RAW MAPPING'!$C$59:$C$73)-ROW('👾 RAW MAPPING'!$C$59)+1), ROW(C5)-ROW(C$2)+1)), "")</f>
        <v/>
      </c>
      <c r="D5" s="623"/>
      <c r="E5" s="623"/>
      <c r="F5" s="622" t="str">
        <f t="array" ref="F5">IFERROR(INDEX('👾 RAW MAPPING'!$F$59:$F$73, SMALL(IF('👾 RAW MAPPING'!$F$59:$F$73&lt;&gt;"", ROW('👾 RAW MAPPING'!$F$59:$F$73)-ROW('👾 RAW MAPPING'!$F$59)+1), ROW(F5)-ROW(F$2)+1)), "")</f>
        <v/>
      </c>
      <c r="G5" s="622" t="str">
        <f t="array" ref="G5">IFERROR(INDEX('👾 RAW MAPPING'!$G$59:$G$73, SMALL(IF('👾 RAW MAPPING'!$G$59:$G$73&lt;&gt;"", ROW('👾 RAW MAPPING'!$G$59:$G$73)-ROW('👾 RAW MAPPING'!$G$59)+1), ROW(G5)-ROW(G$2)+1)), "")</f>
        <v/>
      </c>
      <c r="H5" s="623"/>
      <c r="I5" s="623"/>
      <c r="J5" s="623"/>
      <c r="K5" s="623"/>
      <c r="L5" s="623"/>
      <c r="M5" s="622" t="str">
        <f t="array" ref="M5">IFERROR(INDEX('👾 RAW MAPPING'!$M$59:$M$73, SMALL(IF('👾 RAW MAPPING'!$M$59:$M$73&lt;&gt;"", ROW('👾 RAW MAPPING'!$M$59:$M$73)-ROW('👾 RAW MAPPING'!$M$59)+1), ROW(M5)-ROW(M$2)+1)), "")</f>
        <v/>
      </c>
      <c r="N5" s="625" t="str">
        <f t="shared" si="1"/>
        <v/>
      </c>
      <c r="O5" s="623"/>
      <c r="P5" s="623"/>
      <c r="Q5" s="623"/>
      <c r="R5" s="623"/>
      <c r="S5" s="623" t="str">
        <f t="shared" si="2"/>
        <v/>
      </c>
      <c r="T5" s="623"/>
      <c r="U5" s="625" t="str">
        <f t="shared" si="3"/>
        <v/>
      </c>
      <c r="V5" s="623"/>
      <c r="W5" s="623"/>
      <c r="X5" s="623"/>
      <c r="Y5" s="623"/>
      <c r="Z5" s="623"/>
      <c r="AA5" s="623"/>
      <c r="AB5" s="623"/>
      <c r="AC5" s="623"/>
      <c r="AD5" s="623"/>
      <c r="AE5" s="623"/>
      <c r="AF5" s="623"/>
      <c r="AG5" s="623"/>
      <c r="AH5" s="623"/>
      <c r="AI5" s="623"/>
      <c r="AJ5" s="623"/>
      <c r="AK5" s="623"/>
      <c r="AL5" s="623"/>
      <c r="AM5" s="623"/>
      <c r="AN5" s="623"/>
      <c r="AO5" s="623"/>
      <c r="AP5" s="623"/>
      <c r="AQ5" s="623"/>
      <c r="AR5" s="623"/>
      <c r="AS5" s="623"/>
      <c r="AT5" s="623"/>
      <c r="AU5" s="623"/>
      <c r="AV5" s="623"/>
      <c r="AW5" s="623"/>
      <c r="AX5" s="623"/>
      <c r="AY5" s="623"/>
      <c r="AZ5" s="623"/>
      <c r="BA5" s="623"/>
      <c r="BB5" s="623"/>
      <c r="BC5" s="623"/>
      <c r="BD5" s="623"/>
      <c r="BE5" s="623"/>
      <c r="BF5" s="623"/>
      <c r="BG5" s="623"/>
      <c r="BH5" s="623"/>
      <c r="BI5" s="623"/>
      <c r="BJ5" s="623"/>
      <c r="BK5" s="623"/>
      <c r="BL5" s="623"/>
      <c r="BM5" s="623"/>
      <c r="BN5" s="623"/>
      <c r="BO5" s="623"/>
      <c r="BP5" s="623"/>
      <c r="BQ5" s="623"/>
      <c r="BR5" s="623"/>
      <c r="BS5" s="623"/>
      <c r="BT5" s="623"/>
      <c r="BU5" s="623"/>
      <c r="BV5" s="623"/>
      <c r="BW5" s="623"/>
      <c r="BX5" s="623"/>
      <c r="BY5" s="623"/>
      <c r="BZ5" s="623"/>
      <c r="CA5" s="623"/>
      <c r="CB5" s="623"/>
      <c r="CC5" s="623"/>
      <c r="CD5" s="623"/>
      <c r="CE5" s="623"/>
      <c r="CF5" s="623"/>
      <c r="CG5" s="623"/>
      <c r="CH5" s="623"/>
      <c r="CI5" s="623"/>
      <c r="CJ5" s="623"/>
      <c r="CK5" s="623"/>
      <c r="CL5" s="623"/>
      <c r="CM5" s="623"/>
      <c r="CN5" s="623"/>
      <c r="CO5" s="623"/>
      <c r="CP5" s="623"/>
      <c r="CQ5" s="623"/>
      <c r="CR5" s="623"/>
      <c r="CS5" s="623"/>
      <c r="CT5" s="623"/>
      <c r="CU5" s="623"/>
      <c r="CV5" s="623"/>
      <c r="CW5" s="623"/>
      <c r="CX5" s="623"/>
      <c r="CY5" s="623"/>
      <c r="CZ5" s="623"/>
      <c r="DA5" s="623"/>
      <c r="DB5" s="623"/>
      <c r="DC5" s="623"/>
      <c r="DD5" s="623"/>
      <c r="DE5" s="623"/>
      <c r="DF5" s="623"/>
      <c r="DG5" s="623"/>
      <c r="DH5" s="623"/>
      <c r="DI5" s="623"/>
      <c r="DJ5" s="623"/>
      <c r="DK5" s="623"/>
      <c r="DL5" s="623"/>
      <c r="DM5" s="623"/>
      <c r="DN5" s="623"/>
      <c r="DO5" s="623"/>
      <c r="DP5" s="623"/>
      <c r="DQ5" s="623"/>
      <c r="DR5" s="623"/>
      <c r="DS5" s="623"/>
      <c r="DT5" s="623"/>
      <c r="DU5" s="623"/>
      <c r="DV5" s="623"/>
      <c r="DW5" s="623"/>
      <c r="DX5" s="623"/>
    </row>
    <row r="6">
      <c r="A6" s="622" t="str">
        <f t="array" ref="A6">IFERROR(INDEX('👾 RAW MAPPING'!$A$59:$A$73, SMALL(IF('👾 RAW MAPPING'!$A$59:$A$73&lt;&gt;"", ROW('👾 RAW MAPPING'!$A$59:$A$73)-ROW('👾 RAW MAPPING'!$A$59)+1), ROW(A6)-ROW(A$2)+1)), "")</f>
        <v/>
      </c>
      <c r="B6" s="622" t="str">
        <f t="array" ref="B6">IFERROR(INDEX('👾 RAW MAPPING'!$B$59:$B$73, SMALL(IF('👾 RAW MAPPING'!$B$59:$B$73&lt;&gt;"", ROW('👾 RAW MAPPING'!$B$59:$B$73)-ROW('👾 RAW MAPPING'!$B$59)+1), ROW(B6)-ROW(B$2)+1)), "")</f>
        <v/>
      </c>
      <c r="C6" s="622" t="str">
        <f t="array" ref="C6">IFERROR(INDEX('👾 RAW MAPPING'!$C$59:$C$73, SMALL(IF('👾 RAW MAPPING'!$C$59:$C$73&lt;&gt;"", ROW('👾 RAW MAPPING'!$C$59:$C$73)-ROW('👾 RAW MAPPING'!$C$59)+1), ROW(C6)-ROW(C$2)+1)), "")</f>
        <v/>
      </c>
      <c r="D6" s="623"/>
      <c r="E6" s="623"/>
      <c r="F6" s="622" t="str">
        <f t="array" ref="F6">IFERROR(INDEX('👾 RAW MAPPING'!$F$59:$F$73, SMALL(IF('👾 RAW MAPPING'!$F$59:$F$73&lt;&gt;"", ROW('👾 RAW MAPPING'!$F$59:$F$73)-ROW('👾 RAW MAPPING'!$F$59)+1), ROW(F6)-ROW(F$2)+1)), "")</f>
        <v/>
      </c>
      <c r="G6" s="622" t="str">
        <f t="array" ref="G6">IFERROR(INDEX('👾 RAW MAPPING'!$G$59:$G$73, SMALL(IF('👾 RAW MAPPING'!$G$59:$G$73&lt;&gt;"", ROW('👾 RAW MAPPING'!$G$59:$G$73)-ROW('👾 RAW MAPPING'!$G$59)+1), ROW(G6)-ROW(G$2)+1)), "")</f>
        <v/>
      </c>
      <c r="H6" s="623"/>
      <c r="I6" s="623"/>
      <c r="J6" s="623"/>
      <c r="K6" s="623"/>
      <c r="L6" s="623"/>
      <c r="M6" s="622" t="str">
        <f t="array" ref="M6">IFERROR(INDEX('👾 RAW MAPPING'!$M$59:$M$73, SMALL(IF('👾 RAW MAPPING'!$M$59:$M$73&lt;&gt;"", ROW('👾 RAW MAPPING'!$M$59:$M$73)-ROW('👾 RAW MAPPING'!$M$59)+1), ROW(M6)-ROW(M$2)+1)), "")</f>
        <v/>
      </c>
      <c r="N6" s="625" t="str">
        <f t="shared" si="1"/>
        <v/>
      </c>
      <c r="O6" s="623"/>
      <c r="P6" s="623"/>
      <c r="Q6" s="623"/>
      <c r="R6" s="623"/>
      <c r="S6" s="623" t="str">
        <f t="shared" si="2"/>
        <v/>
      </c>
      <c r="T6" s="623"/>
      <c r="U6" s="625" t="str">
        <f t="shared" si="3"/>
        <v/>
      </c>
      <c r="V6" s="623"/>
      <c r="W6" s="623"/>
      <c r="X6" s="623"/>
      <c r="Y6" s="623"/>
      <c r="Z6" s="623"/>
      <c r="AA6" s="623"/>
      <c r="AB6" s="623"/>
      <c r="AC6" s="623"/>
      <c r="AD6" s="623"/>
      <c r="AE6" s="623"/>
      <c r="AF6" s="623"/>
      <c r="AG6" s="623"/>
      <c r="AH6" s="623"/>
      <c r="AI6" s="623"/>
      <c r="AJ6" s="623"/>
      <c r="AK6" s="623"/>
      <c r="AL6" s="623"/>
      <c r="AM6" s="623"/>
      <c r="AN6" s="623"/>
      <c r="AO6" s="623"/>
      <c r="AP6" s="623"/>
      <c r="AQ6" s="623"/>
      <c r="AR6" s="623"/>
      <c r="AS6" s="623"/>
      <c r="AT6" s="623"/>
      <c r="AU6" s="623"/>
      <c r="AV6" s="623"/>
      <c r="AW6" s="623"/>
      <c r="AX6" s="623"/>
      <c r="AY6" s="623"/>
      <c r="AZ6" s="623"/>
      <c r="BA6" s="623"/>
      <c r="BB6" s="623"/>
      <c r="BC6" s="623"/>
      <c r="BD6" s="623"/>
      <c r="BE6" s="623"/>
      <c r="BF6" s="623"/>
      <c r="BG6" s="623"/>
      <c r="BH6" s="623"/>
      <c r="BI6" s="623"/>
      <c r="BJ6" s="623"/>
      <c r="BK6" s="623"/>
      <c r="BL6" s="623"/>
      <c r="BM6" s="623"/>
      <c r="BN6" s="623"/>
      <c r="BO6" s="623"/>
      <c r="BP6" s="623"/>
      <c r="BQ6" s="623"/>
      <c r="BR6" s="623"/>
      <c r="BS6" s="623"/>
      <c r="BT6" s="623"/>
      <c r="BU6" s="623"/>
      <c r="BV6" s="623"/>
      <c r="BW6" s="623"/>
      <c r="BX6" s="623"/>
      <c r="BY6" s="623"/>
      <c r="BZ6" s="623"/>
      <c r="CA6" s="623"/>
      <c r="CB6" s="623"/>
      <c r="CC6" s="623"/>
      <c r="CD6" s="623"/>
      <c r="CE6" s="623"/>
      <c r="CF6" s="623"/>
      <c r="CG6" s="623"/>
      <c r="CH6" s="623"/>
      <c r="CI6" s="623"/>
      <c r="CJ6" s="623"/>
      <c r="CK6" s="623"/>
      <c r="CL6" s="623"/>
      <c r="CM6" s="623"/>
      <c r="CN6" s="623"/>
      <c r="CO6" s="623"/>
      <c r="CP6" s="623"/>
      <c r="CQ6" s="623"/>
      <c r="CR6" s="623"/>
      <c r="CS6" s="623"/>
      <c r="CT6" s="623"/>
      <c r="CU6" s="623"/>
      <c r="CV6" s="623"/>
      <c r="CW6" s="623"/>
      <c r="CX6" s="623"/>
      <c r="CY6" s="623"/>
      <c r="CZ6" s="623"/>
      <c r="DA6" s="623"/>
      <c r="DB6" s="623"/>
      <c r="DC6" s="623"/>
      <c r="DD6" s="623"/>
      <c r="DE6" s="623"/>
      <c r="DF6" s="623"/>
      <c r="DG6" s="623"/>
      <c r="DH6" s="623"/>
      <c r="DI6" s="623"/>
      <c r="DJ6" s="623"/>
      <c r="DK6" s="623"/>
      <c r="DL6" s="623"/>
      <c r="DM6" s="623"/>
      <c r="DN6" s="623"/>
      <c r="DO6" s="623"/>
      <c r="DP6" s="623"/>
      <c r="DQ6" s="623"/>
      <c r="DR6" s="623"/>
      <c r="DS6" s="623"/>
      <c r="DT6" s="623"/>
      <c r="DU6" s="623"/>
      <c r="DV6" s="623"/>
      <c r="DW6" s="623"/>
      <c r="DX6" s="623"/>
    </row>
    <row r="7">
      <c r="A7" s="622" t="str">
        <f t="array" ref="A7">IFERROR(INDEX('👾 RAW MAPPING'!$A$59:$A$73, SMALL(IF('👾 RAW MAPPING'!$A$59:$A$73&lt;&gt;"", ROW('👾 RAW MAPPING'!$A$59:$A$73)-ROW('👾 RAW MAPPING'!$A$59)+1), ROW(A7)-ROW(A$2)+1)), "")</f>
        <v/>
      </c>
      <c r="B7" s="622" t="str">
        <f t="array" ref="B7">IFERROR(INDEX('👾 RAW MAPPING'!$B$59:$B$73, SMALL(IF('👾 RAW MAPPING'!$B$59:$B$73&lt;&gt;"", ROW('👾 RAW MAPPING'!$B$59:$B$73)-ROW('👾 RAW MAPPING'!$B$59)+1), ROW(B7)-ROW(B$2)+1)), "")</f>
        <v/>
      </c>
      <c r="C7" s="622" t="str">
        <f t="array" ref="C7">IFERROR(INDEX('👾 RAW MAPPING'!$C$59:$C$73, SMALL(IF('👾 RAW MAPPING'!$C$59:$C$73&lt;&gt;"", ROW('👾 RAW MAPPING'!$C$59:$C$73)-ROW('👾 RAW MAPPING'!$C$59)+1), ROW(C7)-ROW(C$2)+1)), "")</f>
        <v/>
      </c>
      <c r="D7" s="623"/>
      <c r="E7" s="623"/>
      <c r="F7" s="622" t="str">
        <f t="array" ref="F7">IFERROR(INDEX('👾 RAW MAPPING'!$F$59:$F$73, SMALL(IF('👾 RAW MAPPING'!$F$59:$F$73&lt;&gt;"", ROW('👾 RAW MAPPING'!$F$59:$F$73)-ROW('👾 RAW MAPPING'!$F$59)+1), ROW(F7)-ROW(F$2)+1)), "")</f>
        <v/>
      </c>
      <c r="G7" s="622" t="str">
        <f t="array" ref="G7">IFERROR(INDEX('👾 RAW MAPPING'!$G$59:$G$73, SMALL(IF('👾 RAW MAPPING'!$G$59:$G$73&lt;&gt;"", ROW('👾 RAW MAPPING'!$G$59:$G$73)-ROW('👾 RAW MAPPING'!$G$59)+1), ROW(G7)-ROW(G$2)+1)), "")</f>
        <v/>
      </c>
      <c r="H7" s="623"/>
      <c r="I7" s="623"/>
      <c r="J7" s="623"/>
      <c r="K7" s="623"/>
      <c r="L7" s="623"/>
      <c r="M7" s="622" t="str">
        <f t="array" ref="M7">IFERROR(INDEX('👾 RAW MAPPING'!$M$59:$M$73, SMALL(IF('👾 RAW MAPPING'!$M$59:$M$73&lt;&gt;"", ROW('👾 RAW MAPPING'!$M$59:$M$73)-ROW('👾 RAW MAPPING'!$M$59)+1), ROW(M7)-ROW(M$2)+1)), "")</f>
        <v/>
      </c>
      <c r="N7" s="625" t="str">
        <f t="shared" si="1"/>
        <v/>
      </c>
      <c r="O7" s="623"/>
      <c r="P7" s="623"/>
      <c r="Q7" s="623"/>
      <c r="R7" s="623"/>
      <c r="S7" s="623" t="str">
        <f t="shared" si="2"/>
        <v/>
      </c>
      <c r="T7" s="623"/>
      <c r="U7" s="625" t="str">
        <f t="shared" si="3"/>
        <v/>
      </c>
      <c r="V7" s="623"/>
      <c r="W7" s="623"/>
      <c r="X7" s="623"/>
      <c r="Y7" s="623"/>
      <c r="Z7" s="623"/>
      <c r="AA7" s="623"/>
      <c r="AB7" s="623"/>
      <c r="AC7" s="623"/>
      <c r="AD7" s="623"/>
      <c r="AE7" s="623"/>
      <c r="AF7" s="623"/>
      <c r="AG7" s="623"/>
      <c r="AH7" s="623"/>
      <c r="AI7" s="623"/>
      <c r="AJ7" s="623"/>
      <c r="AK7" s="623"/>
      <c r="AL7" s="623"/>
      <c r="AM7" s="623"/>
      <c r="AN7" s="623"/>
      <c r="AO7" s="623"/>
      <c r="AP7" s="623"/>
      <c r="AQ7" s="623"/>
      <c r="AR7" s="623"/>
      <c r="AS7" s="623"/>
      <c r="AT7" s="623"/>
      <c r="AU7" s="623"/>
      <c r="AV7" s="623"/>
      <c r="AW7" s="623"/>
      <c r="AX7" s="623"/>
      <c r="AY7" s="623"/>
      <c r="AZ7" s="623"/>
      <c r="BA7" s="623"/>
      <c r="BB7" s="623"/>
      <c r="BC7" s="623"/>
      <c r="BD7" s="623"/>
      <c r="BE7" s="623"/>
      <c r="BF7" s="623"/>
      <c r="BG7" s="623"/>
      <c r="BH7" s="623"/>
      <c r="BI7" s="623"/>
      <c r="BJ7" s="623"/>
      <c r="BK7" s="623"/>
      <c r="BL7" s="623"/>
      <c r="BM7" s="623"/>
      <c r="BN7" s="623"/>
      <c r="BO7" s="623"/>
      <c r="BP7" s="623"/>
      <c r="BQ7" s="623"/>
      <c r="BR7" s="623"/>
      <c r="BS7" s="623"/>
      <c r="BT7" s="623"/>
      <c r="BU7" s="623"/>
      <c r="BV7" s="623"/>
      <c r="BW7" s="623"/>
      <c r="BX7" s="623"/>
      <c r="BY7" s="623"/>
      <c r="BZ7" s="623"/>
      <c r="CA7" s="623"/>
      <c r="CB7" s="623"/>
      <c r="CC7" s="623"/>
      <c r="CD7" s="623"/>
      <c r="CE7" s="623"/>
      <c r="CF7" s="623"/>
      <c r="CG7" s="623"/>
      <c r="CH7" s="623"/>
      <c r="CI7" s="623"/>
      <c r="CJ7" s="623"/>
      <c r="CK7" s="623"/>
      <c r="CL7" s="623"/>
      <c r="CM7" s="623"/>
      <c r="CN7" s="623"/>
      <c r="CO7" s="623"/>
      <c r="CP7" s="623"/>
      <c r="CQ7" s="623"/>
      <c r="CR7" s="623"/>
      <c r="CS7" s="623"/>
      <c r="CT7" s="623"/>
      <c r="CU7" s="623"/>
      <c r="CV7" s="623"/>
      <c r="CW7" s="623"/>
      <c r="CX7" s="623"/>
      <c r="CY7" s="623"/>
      <c r="CZ7" s="623"/>
      <c r="DA7" s="623"/>
      <c r="DB7" s="623"/>
      <c r="DC7" s="623"/>
      <c r="DD7" s="623"/>
      <c r="DE7" s="623"/>
      <c r="DF7" s="623"/>
      <c r="DG7" s="623"/>
      <c r="DH7" s="623"/>
      <c r="DI7" s="623"/>
      <c r="DJ7" s="623"/>
      <c r="DK7" s="623"/>
      <c r="DL7" s="623"/>
      <c r="DM7" s="623"/>
      <c r="DN7" s="623"/>
      <c r="DO7" s="623"/>
      <c r="DP7" s="623"/>
      <c r="DQ7" s="623"/>
      <c r="DR7" s="623"/>
      <c r="DS7" s="623"/>
      <c r="DT7" s="623"/>
      <c r="DU7" s="623"/>
      <c r="DV7" s="623"/>
      <c r="DW7" s="623"/>
      <c r="DX7" s="623"/>
    </row>
    <row r="8">
      <c r="A8" s="622" t="str">
        <f t="array" ref="A8">IFERROR(INDEX('👾 RAW MAPPING'!$A$59:$A$73, SMALL(IF('👾 RAW MAPPING'!$A$59:$A$73&lt;&gt;"", ROW('👾 RAW MAPPING'!$A$59:$A$73)-ROW('👾 RAW MAPPING'!$A$59)+1), ROW(A8)-ROW(A$2)+1)), "")</f>
        <v/>
      </c>
      <c r="B8" s="622" t="str">
        <f t="array" ref="B8">IFERROR(INDEX('👾 RAW MAPPING'!$B$59:$B$73, SMALL(IF('👾 RAW MAPPING'!$B$59:$B$73&lt;&gt;"", ROW('👾 RAW MAPPING'!$B$59:$B$73)-ROW('👾 RAW MAPPING'!$B$59)+1), ROW(B8)-ROW(B$2)+1)), "")</f>
        <v/>
      </c>
      <c r="C8" s="622" t="str">
        <f t="array" ref="C8">IFERROR(INDEX('👾 RAW MAPPING'!$C$59:$C$73, SMALL(IF('👾 RAW MAPPING'!$C$59:$C$73&lt;&gt;"", ROW('👾 RAW MAPPING'!$C$59:$C$73)-ROW('👾 RAW MAPPING'!$C$59)+1), ROW(C8)-ROW(C$2)+1)), "")</f>
        <v/>
      </c>
      <c r="D8" s="623"/>
      <c r="E8" s="623"/>
      <c r="F8" s="622" t="str">
        <f t="array" ref="F8">IFERROR(INDEX('👾 RAW MAPPING'!$F$59:$F$73, SMALL(IF('👾 RAW MAPPING'!$F$59:$F$73&lt;&gt;"", ROW('👾 RAW MAPPING'!$F$59:$F$73)-ROW('👾 RAW MAPPING'!$F$59)+1), ROW(F8)-ROW(F$2)+1)), "")</f>
        <v/>
      </c>
      <c r="G8" s="622" t="str">
        <f t="array" ref="G8">IFERROR(INDEX('👾 RAW MAPPING'!$G$59:$G$73, SMALL(IF('👾 RAW MAPPING'!$G$59:$G$73&lt;&gt;"", ROW('👾 RAW MAPPING'!$G$59:$G$73)-ROW('👾 RAW MAPPING'!$G$59)+1), ROW(G8)-ROW(G$2)+1)), "")</f>
        <v/>
      </c>
      <c r="H8" s="623"/>
      <c r="I8" s="623"/>
      <c r="J8" s="623"/>
      <c r="K8" s="623"/>
      <c r="L8" s="623"/>
      <c r="M8" s="622" t="str">
        <f t="array" ref="M8">IFERROR(INDEX('👾 RAW MAPPING'!$M$59:$M$73, SMALL(IF('👾 RAW MAPPING'!$M$59:$M$73&lt;&gt;"", ROW('👾 RAW MAPPING'!$M$59:$M$73)-ROW('👾 RAW MAPPING'!$M$59)+1), ROW(M8)-ROW(M$2)+1)), "")</f>
        <v/>
      </c>
      <c r="N8" s="625" t="str">
        <f t="shared" si="1"/>
        <v/>
      </c>
      <c r="O8" s="623"/>
      <c r="P8" s="623"/>
      <c r="Q8" s="623"/>
      <c r="R8" s="623"/>
      <c r="S8" s="623" t="str">
        <f t="shared" si="2"/>
        <v/>
      </c>
      <c r="T8" s="623"/>
      <c r="U8" s="625" t="str">
        <f t="shared" si="3"/>
        <v/>
      </c>
      <c r="V8" s="623"/>
      <c r="W8" s="623"/>
      <c r="X8" s="623"/>
      <c r="Y8" s="623"/>
      <c r="Z8" s="623"/>
      <c r="AA8" s="623"/>
      <c r="AB8" s="623"/>
      <c r="AC8" s="623"/>
      <c r="AD8" s="623"/>
      <c r="AE8" s="623"/>
      <c r="AF8" s="623"/>
      <c r="AG8" s="623"/>
      <c r="AH8" s="623"/>
      <c r="AI8" s="623"/>
      <c r="AJ8" s="623"/>
      <c r="AK8" s="623"/>
      <c r="AL8" s="623"/>
      <c r="AM8" s="623"/>
      <c r="AN8" s="623"/>
      <c r="AO8" s="623"/>
      <c r="AP8" s="623"/>
      <c r="AQ8" s="623"/>
      <c r="AR8" s="623"/>
      <c r="AS8" s="623"/>
      <c r="AT8" s="623"/>
      <c r="AU8" s="623"/>
      <c r="AV8" s="623"/>
      <c r="AW8" s="623"/>
      <c r="AX8" s="623"/>
      <c r="AY8" s="623"/>
      <c r="AZ8" s="623"/>
      <c r="BA8" s="623"/>
      <c r="BB8" s="623"/>
      <c r="BC8" s="623"/>
      <c r="BD8" s="623"/>
      <c r="BE8" s="623"/>
      <c r="BF8" s="623"/>
      <c r="BG8" s="623"/>
      <c r="BH8" s="623"/>
      <c r="BI8" s="623"/>
      <c r="BJ8" s="623"/>
      <c r="BK8" s="623"/>
      <c r="BL8" s="623"/>
      <c r="BM8" s="623"/>
      <c r="BN8" s="623"/>
      <c r="BO8" s="623"/>
      <c r="BP8" s="623"/>
      <c r="BQ8" s="623"/>
      <c r="BR8" s="623"/>
      <c r="BS8" s="623"/>
      <c r="BT8" s="623"/>
      <c r="BU8" s="623"/>
      <c r="BV8" s="623"/>
      <c r="BW8" s="623"/>
      <c r="BX8" s="623"/>
      <c r="BY8" s="623"/>
      <c r="BZ8" s="623"/>
      <c r="CA8" s="623"/>
      <c r="CB8" s="623"/>
      <c r="CC8" s="623"/>
      <c r="CD8" s="623"/>
      <c r="CE8" s="623"/>
      <c r="CF8" s="623"/>
      <c r="CG8" s="623"/>
      <c r="CH8" s="623"/>
      <c r="CI8" s="623"/>
      <c r="CJ8" s="623"/>
      <c r="CK8" s="623"/>
      <c r="CL8" s="623"/>
      <c r="CM8" s="623"/>
      <c r="CN8" s="623"/>
      <c r="CO8" s="623"/>
      <c r="CP8" s="623"/>
      <c r="CQ8" s="623"/>
      <c r="CR8" s="623"/>
      <c r="CS8" s="623"/>
      <c r="CT8" s="623"/>
      <c r="CU8" s="623"/>
      <c r="CV8" s="623"/>
      <c r="CW8" s="623"/>
      <c r="CX8" s="623"/>
      <c r="CY8" s="623"/>
      <c r="CZ8" s="623"/>
      <c r="DA8" s="623"/>
      <c r="DB8" s="623"/>
      <c r="DC8" s="623"/>
      <c r="DD8" s="623"/>
      <c r="DE8" s="623"/>
      <c r="DF8" s="623"/>
      <c r="DG8" s="623"/>
      <c r="DH8" s="623"/>
      <c r="DI8" s="623"/>
      <c r="DJ8" s="623"/>
      <c r="DK8" s="623"/>
      <c r="DL8" s="623"/>
      <c r="DM8" s="623"/>
      <c r="DN8" s="623"/>
      <c r="DO8" s="623"/>
      <c r="DP8" s="623"/>
      <c r="DQ8" s="623"/>
      <c r="DR8" s="623"/>
      <c r="DS8" s="623"/>
      <c r="DT8" s="623"/>
      <c r="DU8" s="623"/>
      <c r="DV8" s="623"/>
      <c r="DW8" s="623"/>
      <c r="DX8" s="623"/>
    </row>
    <row r="9">
      <c r="A9" s="622" t="str">
        <f t="array" ref="A9">IFERROR(INDEX('👾 RAW MAPPING'!$A$59:$A$73, SMALL(IF('👾 RAW MAPPING'!$A$59:$A$73&lt;&gt;"", ROW('👾 RAW MAPPING'!$A$59:$A$73)-ROW('👾 RAW MAPPING'!$A$59)+1), ROW(A9)-ROW(A$2)+1)), "")</f>
        <v/>
      </c>
      <c r="B9" s="622" t="str">
        <f t="array" ref="B9">IFERROR(INDEX('👾 RAW MAPPING'!$B$59:$B$73, SMALL(IF('👾 RAW MAPPING'!$B$59:$B$73&lt;&gt;"", ROW('👾 RAW MAPPING'!$B$59:$B$73)-ROW('👾 RAW MAPPING'!$B$59)+1), ROW(B9)-ROW(B$2)+1)), "")</f>
        <v/>
      </c>
      <c r="C9" s="622" t="str">
        <f t="array" ref="C9">IFERROR(INDEX('👾 RAW MAPPING'!$C$59:$C$73, SMALL(IF('👾 RAW MAPPING'!$C$59:$C$73&lt;&gt;"", ROW('👾 RAW MAPPING'!$C$59:$C$73)-ROW('👾 RAW MAPPING'!$C$59)+1), ROW(C9)-ROW(C$2)+1)), "")</f>
        <v/>
      </c>
      <c r="D9" s="623"/>
      <c r="E9" s="623"/>
      <c r="F9" s="622" t="str">
        <f t="array" ref="F9">IFERROR(INDEX('👾 RAW MAPPING'!$F$59:$F$73, SMALL(IF('👾 RAW MAPPING'!$F$59:$F$73&lt;&gt;"", ROW('👾 RAW MAPPING'!$F$59:$F$73)-ROW('👾 RAW MAPPING'!$F$59)+1), ROW(F9)-ROW(F$2)+1)), "")</f>
        <v/>
      </c>
      <c r="G9" s="622" t="str">
        <f t="array" ref="G9">IFERROR(INDEX('👾 RAW MAPPING'!$G$59:$G$73, SMALL(IF('👾 RAW MAPPING'!$G$59:$G$73&lt;&gt;"", ROW('👾 RAW MAPPING'!$G$59:$G$73)-ROW('👾 RAW MAPPING'!$G$59)+1), ROW(G9)-ROW(G$2)+1)), "")</f>
        <v/>
      </c>
      <c r="H9" s="623"/>
      <c r="I9" s="623"/>
      <c r="J9" s="623"/>
      <c r="K9" s="623"/>
      <c r="L9" s="623"/>
      <c r="M9" s="622" t="str">
        <f t="array" ref="M9">IFERROR(INDEX('👾 RAW MAPPING'!$M$59:$M$73, SMALL(IF('👾 RAW MAPPING'!$M$59:$M$73&lt;&gt;"", ROW('👾 RAW MAPPING'!$M$59:$M$73)-ROW('👾 RAW MAPPING'!$M$59)+1), ROW(M9)-ROW(M$2)+1)), "")</f>
        <v/>
      </c>
      <c r="N9" s="625" t="str">
        <f t="shared" si="1"/>
        <v/>
      </c>
      <c r="O9" s="623"/>
      <c r="P9" s="623"/>
      <c r="Q9" s="623"/>
      <c r="R9" s="623"/>
      <c r="S9" s="623" t="str">
        <f t="shared" si="2"/>
        <v/>
      </c>
      <c r="T9" s="623"/>
      <c r="U9" s="625" t="str">
        <f t="shared" si="3"/>
        <v/>
      </c>
      <c r="V9" s="623"/>
      <c r="W9" s="623"/>
      <c r="X9" s="623"/>
      <c r="Y9" s="623"/>
      <c r="Z9" s="623"/>
      <c r="AA9" s="623"/>
      <c r="AB9" s="623"/>
      <c r="AC9" s="623"/>
      <c r="AD9" s="623"/>
      <c r="AE9" s="623"/>
      <c r="AF9" s="623"/>
      <c r="AG9" s="623"/>
      <c r="AH9" s="623"/>
      <c r="AI9" s="623"/>
      <c r="AJ9" s="623"/>
      <c r="AK9" s="623"/>
      <c r="AL9" s="623"/>
      <c r="AM9" s="623"/>
      <c r="AN9" s="623"/>
      <c r="AO9" s="623"/>
      <c r="AP9" s="623"/>
      <c r="AQ9" s="623"/>
      <c r="AR9" s="623"/>
      <c r="AS9" s="623"/>
      <c r="AT9" s="623"/>
      <c r="AU9" s="623"/>
      <c r="AV9" s="623"/>
      <c r="AW9" s="623"/>
      <c r="AX9" s="623"/>
      <c r="AY9" s="623"/>
      <c r="AZ9" s="623"/>
      <c r="BA9" s="623"/>
      <c r="BB9" s="623"/>
      <c r="BC9" s="623"/>
      <c r="BD9" s="623"/>
      <c r="BE9" s="623"/>
      <c r="BF9" s="623"/>
      <c r="BG9" s="623"/>
      <c r="BH9" s="623"/>
      <c r="BI9" s="623"/>
      <c r="BJ9" s="623"/>
      <c r="BK9" s="623"/>
      <c r="BL9" s="623"/>
      <c r="BM9" s="623"/>
      <c r="BN9" s="623"/>
      <c r="BO9" s="623"/>
      <c r="BP9" s="623"/>
      <c r="BQ9" s="623"/>
      <c r="BR9" s="623"/>
      <c r="BS9" s="623"/>
      <c r="BT9" s="623"/>
      <c r="BU9" s="623"/>
      <c r="BV9" s="623"/>
      <c r="BW9" s="623"/>
      <c r="BX9" s="623"/>
      <c r="BY9" s="623"/>
      <c r="BZ9" s="623"/>
      <c r="CA9" s="623"/>
      <c r="CB9" s="623"/>
      <c r="CC9" s="623"/>
      <c r="CD9" s="623"/>
      <c r="CE9" s="623"/>
      <c r="CF9" s="623"/>
      <c r="CG9" s="623"/>
      <c r="CH9" s="623"/>
      <c r="CI9" s="623"/>
      <c r="CJ9" s="623"/>
      <c r="CK9" s="623"/>
      <c r="CL9" s="623"/>
      <c r="CM9" s="623"/>
      <c r="CN9" s="623"/>
      <c r="CO9" s="623"/>
      <c r="CP9" s="623"/>
      <c r="CQ9" s="623"/>
      <c r="CR9" s="623"/>
      <c r="CS9" s="623"/>
      <c r="CT9" s="623"/>
      <c r="CU9" s="623"/>
      <c r="CV9" s="623"/>
      <c r="CW9" s="623"/>
      <c r="CX9" s="623"/>
      <c r="CY9" s="623"/>
      <c r="CZ9" s="623"/>
      <c r="DA9" s="623"/>
      <c r="DB9" s="623"/>
      <c r="DC9" s="623"/>
      <c r="DD9" s="623"/>
      <c r="DE9" s="623"/>
      <c r="DF9" s="623"/>
      <c r="DG9" s="623"/>
      <c r="DH9" s="623"/>
      <c r="DI9" s="623"/>
      <c r="DJ9" s="623"/>
      <c r="DK9" s="623"/>
      <c r="DL9" s="623"/>
      <c r="DM9" s="623"/>
      <c r="DN9" s="623"/>
      <c r="DO9" s="623"/>
      <c r="DP9" s="623"/>
      <c r="DQ9" s="623"/>
      <c r="DR9" s="623"/>
      <c r="DS9" s="623"/>
      <c r="DT9" s="623"/>
      <c r="DU9" s="623"/>
      <c r="DV9" s="623"/>
      <c r="DW9" s="623"/>
      <c r="DX9" s="623"/>
    </row>
    <row r="10">
      <c r="A10" s="622" t="str">
        <f t="array" ref="A10">IFERROR(INDEX('👾 RAW MAPPING'!$A$59:$A$73, SMALL(IF('👾 RAW MAPPING'!$A$59:$A$73&lt;&gt;"", ROW('👾 RAW MAPPING'!$A$59:$A$73)-ROW('👾 RAW MAPPING'!$A$59)+1), ROW(A10)-ROW(A$2)+1)), "")</f>
        <v/>
      </c>
      <c r="B10" s="622" t="str">
        <f t="array" ref="B10">IFERROR(INDEX('👾 RAW MAPPING'!$B$59:$B$73, SMALL(IF('👾 RAW MAPPING'!$B$59:$B$73&lt;&gt;"", ROW('👾 RAW MAPPING'!$B$59:$B$73)-ROW('👾 RAW MAPPING'!$B$59)+1), ROW(B10)-ROW(B$2)+1)), "")</f>
        <v/>
      </c>
      <c r="C10" s="622" t="str">
        <f t="array" ref="C10">IFERROR(INDEX('👾 RAW MAPPING'!$C$59:$C$73, SMALL(IF('👾 RAW MAPPING'!$C$59:$C$73&lt;&gt;"", ROW('👾 RAW MAPPING'!$C$59:$C$73)-ROW('👾 RAW MAPPING'!$C$59)+1), ROW(C10)-ROW(C$2)+1)), "")</f>
        <v/>
      </c>
      <c r="D10" s="623"/>
      <c r="E10" s="623"/>
      <c r="F10" s="622" t="str">
        <f t="array" ref="F10">IFERROR(INDEX('👾 RAW MAPPING'!$F$59:$F$73, SMALL(IF('👾 RAW MAPPING'!$F$59:$F$73&lt;&gt;"", ROW('👾 RAW MAPPING'!$F$59:$F$73)-ROW('👾 RAW MAPPING'!$F$59)+1), ROW(F10)-ROW(F$2)+1)), "")</f>
        <v/>
      </c>
      <c r="G10" s="622" t="str">
        <f t="array" ref="G10">IFERROR(INDEX('👾 RAW MAPPING'!$G$59:$G$73, SMALL(IF('👾 RAW MAPPING'!$G$59:$G$73&lt;&gt;"", ROW('👾 RAW MAPPING'!$G$59:$G$73)-ROW('👾 RAW MAPPING'!$G$59)+1), ROW(G10)-ROW(G$2)+1)), "")</f>
        <v/>
      </c>
      <c r="H10" s="623"/>
      <c r="I10" s="623"/>
      <c r="J10" s="623"/>
      <c r="K10" s="623"/>
      <c r="L10" s="623"/>
      <c r="M10" s="622" t="str">
        <f t="array" ref="M10">IFERROR(INDEX('👾 RAW MAPPING'!$M$59:$M$73, SMALL(IF('👾 RAW MAPPING'!$M$59:$M$73&lt;&gt;"", ROW('👾 RAW MAPPING'!$M$59:$M$73)-ROW('👾 RAW MAPPING'!$M$59)+1), ROW(M10)-ROW(M$2)+1)), "")</f>
        <v/>
      </c>
      <c r="N10" s="625" t="str">
        <f t="shared" si="1"/>
        <v/>
      </c>
      <c r="O10" s="623"/>
      <c r="P10" s="623"/>
      <c r="Q10" s="623"/>
      <c r="R10" s="623"/>
      <c r="S10" s="623" t="str">
        <f t="shared" si="2"/>
        <v/>
      </c>
      <c r="T10" s="623"/>
      <c r="U10" s="625" t="str">
        <f t="shared" si="3"/>
        <v/>
      </c>
      <c r="V10" s="623"/>
      <c r="W10" s="623"/>
      <c r="X10" s="623"/>
      <c r="Y10" s="623"/>
      <c r="Z10" s="623"/>
      <c r="AA10" s="623"/>
      <c r="AB10" s="623"/>
      <c r="AC10" s="623"/>
      <c r="AD10" s="623"/>
      <c r="AE10" s="623"/>
      <c r="AF10" s="623"/>
      <c r="AG10" s="623"/>
      <c r="AH10" s="623"/>
      <c r="AI10" s="623"/>
      <c r="AJ10" s="623"/>
      <c r="AK10" s="623"/>
      <c r="AL10" s="623"/>
      <c r="AM10" s="623"/>
      <c r="AN10" s="623"/>
      <c r="AO10" s="623"/>
      <c r="AP10" s="623"/>
      <c r="AQ10" s="623"/>
      <c r="AR10" s="623"/>
      <c r="AS10" s="623"/>
      <c r="AT10" s="623"/>
      <c r="AU10" s="623"/>
      <c r="AV10" s="623"/>
      <c r="AW10" s="623"/>
      <c r="AX10" s="623"/>
      <c r="AY10" s="623"/>
      <c r="AZ10" s="623"/>
      <c r="BA10" s="623"/>
      <c r="BB10" s="623"/>
      <c r="BC10" s="623"/>
      <c r="BD10" s="623"/>
      <c r="BE10" s="623"/>
      <c r="BF10" s="623"/>
      <c r="BG10" s="623"/>
      <c r="BH10" s="623"/>
      <c r="BI10" s="623"/>
      <c r="BJ10" s="623"/>
      <c r="BK10" s="623"/>
      <c r="BL10" s="623"/>
      <c r="BM10" s="623"/>
      <c r="BN10" s="623"/>
      <c r="BO10" s="623"/>
      <c r="BP10" s="623"/>
      <c r="BQ10" s="623"/>
      <c r="BR10" s="623"/>
      <c r="BS10" s="623"/>
      <c r="BT10" s="623"/>
      <c r="BU10" s="623"/>
      <c r="BV10" s="623"/>
      <c r="BW10" s="623"/>
      <c r="BX10" s="623"/>
      <c r="BY10" s="623"/>
      <c r="BZ10" s="623"/>
      <c r="CA10" s="623"/>
      <c r="CB10" s="623"/>
      <c r="CC10" s="623"/>
      <c r="CD10" s="623"/>
      <c r="CE10" s="623"/>
      <c r="CF10" s="623"/>
      <c r="CG10" s="623"/>
      <c r="CH10" s="623"/>
      <c r="CI10" s="623"/>
      <c r="CJ10" s="623"/>
      <c r="CK10" s="623"/>
      <c r="CL10" s="623"/>
      <c r="CM10" s="623"/>
      <c r="CN10" s="623"/>
      <c r="CO10" s="623"/>
      <c r="CP10" s="623"/>
      <c r="CQ10" s="623"/>
      <c r="CR10" s="623"/>
      <c r="CS10" s="623"/>
      <c r="CT10" s="623"/>
      <c r="CU10" s="623"/>
      <c r="CV10" s="623"/>
      <c r="CW10" s="623"/>
      <c r="CX10" s="623"/>
      <c r="CY10" s="623"/>
      <c r="CZ10" s="623"/>
      <c r="DA10" s="623"/>
      <c r="DB10" s="623"/>
      <c r="DC10" s="623"/>
      <c r="DD10" s="623"/>
      <c r="DE10" s="623"/>
      <c r="DF10" s="623"/>
      <c r="DG10" s="623"/>
      <c r="DH10" s="623"/>
      <c r="DI10" s="623"/>
      <c r="DJ10" s="623"/>
      <c r="DK10" s="623"/>
      <c r="DL10" s="623"/>
      <c r="DM10" s="623"/>
      <c r="DN10" s="623"/>
      <c r="DO10" s="623"/>
      <c r="DP10" s="623"/>
      <c r="DQ10" s="623"/>
      <c r="DR10" s="623"/>
      <c r="DS10" s="623"/>
      <c r="DT10" s="623"/>
      <c r="DU10" s="623"/>
      <c r="DV10" s="623"/>
      <c r="DW10" s="623"/>
      <c r="DX10" s="623"/>
    </row>
    <row r="11">
      <c r="A11" s="622" t="str">
        <f t="array" ref="A11">IFERROR(INDEX('👾 RAW MAPPING'!$A$59:$A$73, SMALL(IF('👾 RAW MAPPING'!$A$59:$A$73&lt;&gt;"", ROW('👾 RAW MAPPING'!$A$59:$A$73)-ROW('👾 RAW MAPPING'!$A$59)+1), ROW(A11)-ROW(A$2)+1)), "")</f>
        <v/>
      </c>
      <c r="B11" s="622" t="str">
        <f t="array" ref="B11">IFERROR(INDEX('👾 RAW MAPPING'!$B$59:$B$73, SMALL(IF('👾 RAW MAPPING'!$B$59:$B$73&lt;&gt;"", ROW('👾 RAW MAPPING'!$B$59:$B$73)-ROW('👾 RAW MAPPING'!$B$59)+1), ROW(B11)-ROW(B$2)+1)), "")</f>
        <v/>
      </c>
      <c r="C11" s="622" t="str">
        <f t="array" ref="C11">IFERROR(INDEX('👾 RAW MAPPING'!$C$59:$C$73, SMALL(IF('👾 RAW MAPPING'!$C$59:$C$73&lt;&gt;"", ROW('👾 RAW MAPPING'!$C$59:$C$73)-ROW('👾 RAW MAPPING'!$C$59)+1), ROW(C11)-ROW(C$2)+1)), "")</f>
        <v/>
      </c>
      <c r="D11" s="623"/>
      <c r="E11" s="623"/>
      <c r="F11" s="622" t="str">
        <f t="array" ref="F11">IFERROR(INDEX('👾 RAW MAPPING'!$F$59:$F$73, SMALL(IF('👾 RAW MAPPING'!$F$59:$F$73&lt;&gt;"", ROW('👾 RAW MAPPING'!$F$59:$F$73)-ROW('👾 RAW MAPPING'!$F$59)+1), ROW(F11)-ROW(F$2)+1)), "")</f>
        <v/>
      </c>
      <c r="G11" s="622" t="str">
        <f t="array" ref="G11">IFERROR(INDEX('👾 RAW MAPPING'!$G$59:$G$73, SMALL(IF('👾 RAW MAPPING'!$G$59:$G$73&lt;&gt;"", ROW('👾 RAW MAPPING'!$G$59:$G$73)-ROW('👾 RAW MAPPING'!$G$59)+1), ROW(G11)-ROW(G$2)+1)), "")</f>
        <v/>
      </c>
      <c r="H11" s="623"/>
      <c r="I11" s="623"/>
      <c r="J11" s="623"/>
      <c r="K11" s="623"/>
      <c r="L11" s="623"/>
      <c r="M11" s="622" t="str">
        <f t="array" ref="M11">IFERROR(INDEX('👾 RAW MAPPING'!$M$59:$M$73, SMALL(IF('👾 RAW MAPPING'!$M$59:$M$73&lt;&gt;"", ROW('👾 RAW MAPPING'!$M$59:$M$73)-ROW('👾 RAW MAPPING'!$M$59)+1), ROW(M11)-ROW(M$2)+1)), "")</f>
        <v/>
      </c>
      <c r="N11" s="625" t="str">
        <f t="shared" si="1"/>
        <v/>
      </c>
      <c r="O11" s="623"/>
      <c r="P11" s="623"/>
      <c r="Q11" s="623"/>
      <c r="R11" s="623"/>
      <c r="S11" s="623" t="str">
        <f t="shared" si="2"/>
        <v/>
      </c>
      <c r="T11" s="623"/>
      <c r="U11" s="625" t="str">
        <f t="shared" si="3"/>
        <v/>
      </c>
      <c r="V11" s="623"/>
      <c r="W11" s="623"/>
      <c r="X11" s="623"/>
      <c r="Y11" s="623"/>
      <c r="Z11" s="623"/>
      <c r="AA11" s="623"/>
      <c r="AB11" s="623"/>
      <c r="AC11" s="623"/>
      <c r="AD11" s="623"/>
      <c r="AE11" s="623"/>
      <c r="AF11" s="623"/>
      <c r="AG11" s="623"/>
      <c r="AH11" s="623"/>
      <c r="AI11" s="623"/>
      <c r="AJ11" s="623"/>
      <c r="AK11" s="623"/>
      <c r="AL11" s="623"/>
      <c r="AM11" s="623"/>
      <c r="AN11" s="623"/>
      <c r="AO11" s="623"/>
      <c r="AP11" s="623"/>
      <c r="AQ11" s="623"/>
      <c r="AR11" s="623"/>
      <c r="AS11" s="623"/>
      <c r="AT11" s="623"/>
      <c r="AU11" s="623"/>
      <c r="AV11" s="623"/>
      <c r="AW11" s="623"/>
      <c r="AX11" s="623"/>
      <c r="AY11" s="623"/>
      <c r="AZ11" s="623"/>
      <c r="BA11" s="623"/>
      <c r="BB11" s="623"/>
      <c r="BC11" s="623"/>
      <c r="BD11" s="623"/>
      <c r="BE11" s="623"/>
      <c r="BF11" s="623"/>
      <c r="BG11" s="623"/>
      <c r="BH11" s="623"/>
      <c r="BI11" s="623"/>
      <c r="BJ11" s="623"/>
      <c r="BK11" s="623"/>
      <c r="BL11" s="623"/>
      <c r="BM11" s="623"/>
      <c r="BN11" s="623"/>
      <c r="BO11" s="623"/>
      <c r="BP11" s="623"/>
      <c r="BQ11" s="623"/>
      <c r="BR11" s="623"/>
      <c r="BS11" s="623"/>
      <c r="BT11" s="623"/>
      <c r="BU11" s="623"/>
      <c r="BV11" s="623"/>
      <c r="BW11" s="623"/>
      <c r="BX11" s="623"/>
      <c r="BY11" s="623"/>
      <c r="BZ11" s="623"/>
      <c r="CA11" s="623"/>
      <c r="CB11" s="623"/>
      <c r="CC11" s="623"/>
      <c r="CD11" s="623"/>
      <c r="CE11" s="623"/>
      <c r="CF11" s="623"/>
      <c r="CG11" s="623"/>
      <c r="CH11" s="623"/>
      <c r="CI11" s="623"/>
      <c r="CJ11" s="623"/>
      <c r="CK11" s="623"/>
      <c r="CL11" s="623"/>
      <c r="CM11" s="623"/>
      <c r="CN11" s="623"/>
      <c r="CO11" s="623"/>
      <c r="CP11" s="623"/>
      <c r="CQ11" s="623"/>
      <c r="CR11" s="623"/>
      <c r="CS11" s="623"/>
      <c r="CT11" s="623"/>
      <c r="CU11" s="623"/>
      <c r="CV11" s="623"/>
      <c r="CW11" s="623"/>
      <c r="CX11" s="623"/>
      <c r="CY11" s="623"/>
      <c r="CZ11" s="623"/>
      <c r="DA11" s="623"/>
      <c r="DB11" s="623"/>
      <c r="DC11" s="623"/>
      <c r="DD11" s="623"/>
      <c r="DE11" s="623"/>
      <c r="DF11" s="623"/>
      <c r="DG11" s="623"/>
      <c r="DH11" s="623"/>
      <c r="DI11" s="623"/>
      <c r="DJ11" s="623"/>
      <c r="DK11" s="623"/>
      <c r="DL11" s="623"/>
      <c r="DM11" s="623"/>
      <c r="DN11" s="623"/>
      <c r="DO11" s="623"/>
      <c r="DP11" s="623"/>
      <c r="DQ11" s="623"/>
      <c r="DR11" s="623"/>
      <c r="DS11" s="623"/>
      <c r="DT11" s="623"/>
      <c r="DU11" s="623"/>
      <c r="DV11" s="623"/>
      <c r="DW11" s="623"/>
      <c r="DX11" s="623"/>
    </row>
    <row r="12">
      <c r="A12" s="622" t="str">
        <f t="array" ref="A12">IFERROR(INDEX('👾 RAW MAPPING'!$A$59:$A$73, SMALL(IF('👾 RAW MAPPING'!$A$59:$A$73&lt;&gt;"", ROW('👾 RAW MAPPING'!$A$59:$A$73)-ROW('👾 RAW MAPPING'!$A$59)+1), ROW(A12)-ROW(A$2)+1)), "")</f>
        <v/>
      </c>
      <c r="B12" s="622" t="str">
        <f t="array" ref="B12">IFERROR(INDEX('👾 RAW MAPPING'!$B$59:$B$73, SMALL(IF('👾 RAW MAPPING'!$B$59:$B$73&lt;&gt;"", ROW('👾 RAW MAPPING'!$B$59:$B$73)-ROW('👾 RAW MAPPING'!$B$59)+1), ROW(B12)-ROW(B$2)+1)), "")</f>
        <v/>
      </c>
      <c r="C12" s="622" t="str">
        <f t="array" ref="C12">IFERROR(INDEX('👾 RAW MAPPING'!$C$59:$C$73, SMALL(IF('👾 RAW MAPPING'!$C$59:$C$73&lt;&gt;"", ROW('👾 RAW MAPPING'!$C$59:$C$73)-ROW('👾 RAW MAPPING'!$C$59)+1), ROW(C12)-ROW(C$2)+1)), "")</f>
        <v/>
      </c>
      <c r="D12" s="623"/>
      <c r="E12" s="623"/>
      <c r="F12" s="622" t="str">
        <f t="array" ref="F12">IFERROR(INDEX('👾 RAW MAPPING'!$F$59:$F$73, SMALL(IF('👾 RAW MAPPING'!$F$59:$F$73&lt;&gt;"", ROW('👾 RAW MAPPING'!$F$59:$F$73)-ROW('👾 RAW MAPPING'!$F$59)+1), ROW(F12)-ROW(F$2)+1)), "")</f>
        <v/>
      </c>
      <c r="G12" s="622" t="str">
        <f t="array" ref="G12">IFERROR(INDEX('👾 RAW MAPPING'!$G$59:$G$73, SMALL(IF('👾 RAW MAPPING'!$G$59:$G$73&lt;&gt;"", ROW('👾 RAW MAPPING'!$G$59:$G$73)-ROW('👾 RAW MAPPING'!$G$59)+1), ROW(G12)-ROW(G$2)+1)), "")</f>
        <v/>
      </c>
      <c r="H12" s="623"/>
      <c r="I12" s="623"/>
      <c r="J12" s="623"/>
      <c r="K12" s="623"/>
      <c r="L12" s="623"/>
      <c r="M12" s="622" t="str">
        <f t="array" ref="M12">IFERROR(INDEX('👾 RAW MAPPING'!$M$59:$M$73, SMALL(IF('👾 RAW MAPPING'!$M$59:$M$73&lt;&gt;"", ROW('👾 RAW MAPPING'!$M$59:$M$73)-ROW('👾 RAW MAPPING'!$M$59)+1), ROW(M12)-ROW(M$2)+1)), "")</f>
        <v/>
      </c>
      <c r="N12" s="625" t="str">
        <f t="shared" si="1"/>
        <v/>
      </c>
      <c r="O12" s="623"/>
      <c r="P12" s="623"/>
      <c r="Q12" s="623"/>
      <c r="R12" s="623"/>
      <c r="S12" s="623" t="str">
        <f t="shared" si="2"/>
        <v/>
      </c>
      <c r="T12" s="623"/>
      <c r="U12" s="625" t="str">
        <f t="shared" si="3"/>
        <v/>
      </c>
      <c r="V12" s="623"/>
      <c r="W12" s="623"/>
      <c r="X12" s="623"/>
      <c r="Y12" s="623"/>
      <c r="Z12" s="623"/>
      <c r="AA12" s="623"/>
      <c r="AB12" s="623"/>
      <c r="AC12" s="623"/>
      <c r="AD12" s="623"/>
      <c r="AE12" s="623"/>
      <c r="AF12" s="623"/>
      <c r="AG12" s="623"/>
      <c r="AH12" s="623"/>
      <c r="AI12" s="623"/>
      <c r="AJ12" s="623"/>
      <c r="AK12" s="623"/>
      <c r="AL12" s="623"/>
      <c r="AM12" s="623"/>
      <c r="AN12" s="623"/>
      <c r="AO12" s="623"/>
      <c r="AP12" s="623"/>
      <c r="AQ12" s="623"/>
      <c r="AR12" s="623"/>
      <c r="AS12" s="623"/>
      <c r="AT12" s="623"/>
      <c r="AU12" s="623"/>
      <c r="AV12" s="623"/>
      <c r="AW12" s="623"/>
      <c r="AX12" s="623"/>
      <c r="AY12" s="623"/>
      <c r="AZ12" s="623"/>
      <c r="BA12" s="623"/>
      <c r="BB12" s="623"/>
      <c r="BC12" s="623"/>
      <c r="BD12" s="623"/>
      <c r="BE12" s="623"/>
      <c r="BF12" s="623"/>
      <c r="BG12" s="623"/>
      <c r="BH12" s="623"/>
      <c r="BI12" s="623"/>
      <c r="BJ12" s="623"/>
      <c r="BK12" s="623"/>
      <c r="BL12" s="623"/>
      <c r="BM12" s="623"/>
      <c r="BN12" s="623"/>
      <c r="BO12" s="623"/>
      <c r="BP12" s="623"/>
      <c r="BQ12" s="623"/>
      <c r="BR12" s="623"/>
      <c r="BS12" s="623"/>
      <c r="BT12" s="623"/>
      <c r="BU12" s="623"/>
      <c r="BV12" s="623"/>
      <c r="BW12" s="623"/>
      <c r="BX12" s="623"/>
      <c r="BY12" s="623"/>
      <c r="BZ12" s="623"/>
      <c r="CA12" s="623"/>
      <c r="CB12" s="623"/>
      <c r="CC12" s="623"/>
      <c r="CD12" s="623"/>
      <c r="CE12" s="623"/>
      <c r="CF12" s="623"/>
      <c r="CG12" s="623"/>
      <c r="CH12" s="623"/>
      <c r="CI12" s="623"/>
      <c r="CJ12" s="623"/>
      <c r="CK12" s="623"/>
      <c r="CL12" s="623"/>
      <c r="CM12" s="623"/>
      <c r="CN12" s="623"/>
      <c r="CO12" s="623"/>
      <c r="CP12" s="623"/>
      <c r="CQ12" s="623"/>
      <c r="CR12" s="623"/>
      <c r="CS12" s="623"/>
      <c r="CT12" s="623"/>
      <c r="CU12" s="623"/>
      <c r="CV12" s="623"/>
      <c r="CW12" s="623"/>
      <c r="CX12" s="623"/>
      <c r="CY12" s="623"/>
      <c r="CZ12" s="623"/>
      <c r="DA12" s="623"/>
      <c r="DB12" s="623"/>
      <c r="DC12" s="623"/>
      <c r="DD12" s="623"/>
      <c r="DE12" s="623"/>
      <c r="DF12" s="623"/>
      <c r="DG12" s="623"/>
      <c r="DH12" s="623"/>
      <c r="DI12" s="623"/>
      <c r="DJ12" s="623"/>
      <c r="DK12" s="623"/>
      <c r="DL12" s="623"/>
      <c r="DM12" s="623"/>
      <c r="DN12" s="623"/>
      <c r="DO12" s="623"/>
      <c r="DP12" s="623"/>
      <c r="DQ12" s="623"/>
      <c r="DR12" s="623"/>
      <c r="DS12" s="623"/>
      <c r="DT12" s="623"/>
      <c r="DU12" s="623"/>
      <c r="DV12" s="623"/>
      <c r="DW12" s="623"/>
      <c r="DX12" s="623"/>
    </row>
    <row r="13">
      <c r="A13" s="622" t="str">
        <f t="array" ref="A13">IFERROR(INDEX('👾 RAW MAPPING'!$A$59:$A$73, SMALL(IF('👾 RAW MAPPING'!$A$59:$A$73&lt;&gt;"", ROW('👾 RAW MAPPING'!$A$59:$A$73)-ROW('👾 RAW MAPPING'!$A$59)+1), ROW(A13)-ROW(A$2)+1)), "")</f>
        <v/>
      </c>
      <c r="B13" s="622" t="str">
        <f t="array" ref="B13">IFERROR(INDEX('👾 RAW MAPPING'!$B$59:$B$73, SMALL(IF('👾 RAW MAPPING'!$B$59:$B$73&lt;&gt;"", ROW('👾 RAW MAPPING'!$B$59:$B$73)-ROW('👾 RAW MAPPING'!$B$59)+1), ROW(B13)-ROW(B$2)+1)), "")</f>
        <v/>
      </c>
      <c r="C13" s="622" t="str">
        <f t="array" ref="C13">IFERROR(INDEX('👾 RAW MAPPING'!$C$59:$C$73, SMALL(IF('👾 RAW MAPPING'!$C$59:$C$73&lt;&gt;"", ROW('👾 RAW MAPPING'!$C$59:$C$73)-ROW('👾 RAW MAPPING'!$C$59)+1), ROW(C13)-ROW(C$2)+1)), "")</f>
        <v/>
      </c>
      <c r="D13" s="623"/>
      <c r="E13" s="623"/>
      <c r="F13" s="622" t="str">
        <f t="array" ref="F13">IFERROR(INDEX('👾 RAW MAPPING'!$F$59:$F$73, SMALL(IF('👾 RAW MAPPING'!$F$59:$F$73&lt;&gt;"", ROW('👾 RAW MAPPING'!$F$59:$F$73)-ROW('👾 RAW MAPPING'!$F$59)+1), ROW(F13)-ROW(F$2)+1)), "")</f>
        <v/>
      </c>
      <c r="G13" s="622" t="str">
        <f t="array" ref="G13">IFERROR(INDEX('👾 RAW MAPPING'!$G$59:$G$73, SMALL(IF('👾 RAW MAPPING'!$G$59:$G$73&lt;&gt;"", ROW('👾 RAW MAPPING'!$G$59:$G$73)-ROW('👾 RAW MAPPING'!$G$59)+1), ROW(G13)-ROW(G$2)+1)), "")</f>
        <v/>
      </c>
      <c r="H13" s="623"/>
      <c r="I13" s="623"/>
      <c r="J13" s="623"/>
      <c r="K13" s="623"/>
      <c r="L13" s="623"/>
      <c r="M13" s="622" t="str">
        <f t="array" ref="M13">IFERROR(INDEX('👾 RAW MAPPING'!$M$59:$M$73, SMALL(IF('👾 RAW MAPPING'!$M$59:$M$73&lt;&gt;"", ROW('👾 RAW MAPPING'!$M$59:$M$73)-ROW('👾 RAW MAPPING'!$M$59)+1), ROW(M13)-ROW(M$2)+1)), "")</f>
        <v/>
      </c>
      <c r="N13" s="625" t="str">
        <f t="shared" si="1"/>
        <v/>
      </c>
      <c r="O13" s="623"/>
      <c r="P13" s="623"/>
      <c r="Q13" s="623"/>
      <c r="R13" s="623"/>
      <c r="S13" s="623" t="str">
        <f t="shared" si="2"/>
        <v/>
      </c>
      <c r="T13" s="623"/>
      <c r="U13" s="625" t="str">
        <f t="shared" si="3"/>
        <v/>
      </c>
      <c r="V13" s="623"/>
      <c r="W13" s="623"/>
      <c r="X13" s="623"/>
      <c r="Y13" s="623"/>
      <c r="Z13" s="623"/>
      <c r="AA13" s="623"/>
      <c r="AB13" s="623"/>
      <c r="AC13" s="623"/>
      <c r="AD13" s="623"/>
      <c r="AE13" s="623"/>
      <c r="AF13" s="623"/>
      <c r="AG13" s="623"/>
      <c r="AH13" s="623"/>
      <c r="AI13" s="623"/>
      <c r="AJ13" s="623"/>
      <c r="AK13" s="623"/>
      <c r="AL13" s="623"/>
      <c r="AM13" s="623"/>
      <c r="AN13" s="623"/>
      <c r="AO13" s="623"/>
      <c r="AP13" s="623"/>
      <c r="AQ13" s="623"/>
      <c r="AR13" s="623"/>
      <c r="AS13" s="623"/>
      <c r="AT13" s="623"/>
      <c r="AU13" s="623"/>
      <c r="AV13" s="623"/>
      <c r="AW13" s="623"/>
      <c r="AX13" s="623"/>
      <c r="AY13" s="623"/>
      <c r="AZ13" s="623"/>
      <c r="BA13" s="623"/>
      <c r="BB13" s="623"/>
      <c r="BC13" s="623"/>
      <c r="BD13" s="623"/>
      <c r="BE13" s="623"/>
      <c r="BF13" s="623"/>
      <c r="BG13" s="623"/>
      <c r="BH13" s="623"/>
      <c r="BI13" s="623"/>
      <c r="BJ13" s="623"/>
      <c r="BK13" s="623"/>
      <c r="BL13" s="623"/>
      <c r="BM13" s="623"/>
      <c r="BN13" s="623"/>
      <c r="BO13" s="623"/>
      <c r="BP13" s="623"/>
      <c r="BQ13" s="623"/>
      <c r="BR13" s="623"/>
      <c r="BS13" s="623"/>
      <c r="BT13" s="623"/>
      <c r="BU13" s="623"/>
      <c r="BV13" s="623"/>
      <c r="BW13" s="623"/>
      <c r="BX13" s="623"/>
      <c r="BY13" s="623"/>
      <c r="BZ13" s="623"/>
      <c r="CA13" s="623"/>
      <c r="CB13" s="623"/>
      <c r="CC13" s="623"/>
      <c r="CD13" s="623"/>
      <c r="CE13" s="623"/>
      <c r="CF13" s="623"/>
      <c r="CG13" s="623"/>
      <c r="CH13" s="623"/>
      <c r="CI13" s="623"/>
      <c r="CJ13" s="623"/>
      <c r="CK13" s="623"/>
      <c r="CL13" s="623"/>
      <c r="CM13" s="623"/>
      <c r="CN13" s="623"/>
      <c r="CO13" s="623"/>
      <c r="CP13" s="623"/>
      <c r="CQ13" s="623"/>
      <c r="CR13" s="623"/>
      <c r="CS13" s="623"/>
      <c r="CT13" s="623"/>
      <c r="CU13" s="623"/>
      <c r="CV13" s="623"/>
      <c r="CW13" s="623"/>
      <c r="CX13" s="623"/>
      <c r="CY13" s="623"/>
      <c r="CZ13" s="623"/>
      <c r="DA13" s="623"/>
      <c r="DB13" s="623"/>
      <c r="DC13" s="623"/>
      <c r="DD13" s="623"/>
      <c r="DE13" s="623"/>
      <c r="DF13" s="623"/>
      <c r="DG13" s="623"/>
      <c r="DH13" s="623"/>
      <c r="DI13" s="623"/>
      <c r="DJ13" s="623"/>
      <c r="DK13" s="623"/>
      <c r="DL13" s="623"/>
      <c r="DM13" s="623"/>
      <c r="DN13" s="623"/>
      <c r="DO13" s="623"/>
      <c r="DP13" s="623"/>
      <c r="DQ13" s="623"/>
      <c r="DR13" s="623"/>
      <c r="DS13" s="623"/>
      <c r="DT13" s="623"/>
      <c r="DU13" s="623"/>
      <c r="DV13" s="623"/>
      <c r="DW13" s="623"/>
      <c r="DX13" s="623"/>
    </row>
    <row r="14">
      <c r="A14" s="622" t="str">
        <f t="array" ref="A14">IFERROR(INDEX('👾 RAW MAPPING'!$A$59:$A$73, SMALL(IF('👾 RAW MAPPING'!$A$59:$A$73&lt;&gt;"", ROW('👾 RAW MAPPING'!$A$59:$A$73)-ROW('👾 RAW MAPPING'!$A$59)+1), ROW(A14)-ROW(A$2)+1)), "")</f>
        <v/>
      </c>
      <c r="B14" s="622" t="str">
        <f t="array" ref="B14">IFERROR(INDEX('👾 RAW MAPPING'!$B$59:$B$73, SMALL(IF('👾 RAW MAPPING'!$B$59:$B$73&lt;&gt;"", ROW('👾 RAW MAPPING'!$B$59:$B$73)-ROW('👾 RAW MAPPING'!$B$59)+1), ROW(B14)-ROW(B$2)+1)), "")</f>
        <v/>
      </c>
      <c r="C14" s="622" t="str">
        <f t="array" ref="C14">IFERROR(INDEX('👾 RAW MAPPING'!$C$59:$C$73, SMALL(IF('👾 RAW MAPPING'!$C$59:$C$73&lt;&gt;"", ROW('👾 RAW MAPPING'!$C$59:$C$73)-ROW('👾 RAW MAPPING'!$C$59)+1), ROW(C14)-ROW(C$2)+1)), "")</f>
        <v/>
      </c>
      <c r="D14" s="623"/>
      <c r="E14" s="623"/>
      <c r="F14" s="622" t="str">
        <f t="array" ref="F14">IFERROR(INDEX('👾 RAW MAPPING'!$F$59:$F$73, SMALL(IF('👾 RAW MAPPING'!$F$59:$F$73&lt;&gt;"", ROW('👾 RAW MAPPING'!$F$59:$F$73)-ROW('👾 RAW MAPPING'!$F$59)+1), ROW(F14)-ROW(F$2)+1)), "")</f>
        <v/>
      </c>
      <c r="G14" s="622" t="str">
        <f t="array" ref="G14">IFERROR(INDEX('👾 RAW MAPPING'!$G$59:$G$73, SMALL(IF('👾 RAW MAPPING'!$G$59:$G$73&lt;&gt;"", ROW('👾 RAW MAPPING'!$G$59:$G$73)-ROW('👾 RAW MAPPING'!$G$59)+1), ROW(G14)-ROW(G$2)+1)), "")</f>
        <v/>
      </c>
      <c r="H14" s="623"/>
      <c r="I14" s="623"/>
      <c r="J14" s="623"/>
      <c r="K14" s="623"/>
      <c r="L14" s="623"/>
      <c r="M14" s="622" t="str">
        <f t="array" ref="M14">IFERROR(INDEX('👾 RAW MAPPING'!$M$59:$M$73, SMALL(IF('👾 RAW MAPPING'!$M$59:$M$73&lt;&gt;"", ROW('👾 RAW MAPPING'!$M$59:$M$73)-ROW('👾 RAW MAPPING'!$M$59)+1), ROW(M14)-ROW(M$2)+1)), "")</f>
        <v/>
      </c>
      <c r="N14" s="625" t="str">
        <f t="shared" si="1"/>
        <v/>
      </c>
      <c r="O14" s="623"/>
      <c r="P14" s="623"/>
      <c r="Q14" s="623"/>
      <c r="R14" s="623"/>
      <c r="S14" s="623" t="str">
        <f t="shared" si="2"/>
        <v/>
      </c>
      <c r="T14" s="623"/>
      <c r="U14" s="625" t="str">
        <f t="shared" si="3"/>
        <v/>
      </c>
      <c r="V14" s="623"/>
      <c r="W14" s="623"/>
      <c r="X14" s="623"/>
      <c r="Y14" s="623"/>
      <c r="Z14" s="623"/>
      <c r="AA14" s="623"/>
      <c r="AB14" s="623"/>
      <c r="AC14" s="623"/>
      <c r="AD14" s="623"/>
      <c r="AE14" s="623"/>
      <c r="AF14" s="623"/>
      <c r="AG14" s="623"/>
      <c r="AH14" s="623"/>
      <c r="AI14" s="623"/>
      <c r="AJ14" s="623"/>
      <c r="AK14" s="623"/>
      <c r="AL14" s="623"/>
      <c r="AM14" s="623"/>
      <c r="AN14" s="623"/>
      <c r="AO14" s="623"/>
      <c r="AP14" s="623"/>
      <c r="AQ14" s="623"/>
      <c r="AR14" s="623"/>
      <c r="AS14" s="623"/>
      <c r="AT14" s="623"/>
      <c r="AU14" s="623"/>
      <c r="AV14" s="623"/>
      <c r="AW14" s="623"/>
      <c r="AX14" s="623"/>
      <c r="AY14" s="623"/>
      <c r="AZ14" s="623"/>
      <c r="BA14" s="623"/>
      <c r="BB14" s="623"/>
      <c r="BC14" s="623"/>
      <c r="BD14" s="623"/>
      <c r="BE14" s="623"/>
      <c r="BF14" s="623"/>
      <c r="BG14" s="623"/>
      <c r="BH14" s="623"/>
      <c r="BI14" s="623"/>
      <c r="BJ14" s="623"/>
      <c r="BK14" s="623"/>
      <c r="BL14" s="623"/>
      <c r="BM14" s="623"/>
      <c r="BN14" s="623"/>
      <c r="BO14" s="623"/>
      <c r="BP14" s="623"/>
      <c r="BQ14" s="623"/>
      <c r="BR14" s="623"/>
      <c r="BS14" s="623"/>
      <c r="BT14" s="623"/>
      <c r="BU14" s="623"/>
      <c r="BV14" s="623"/>
      <c r="BW14" s="623"/>
      <c r="BX14" s="623"/>
      <c r="BY14" s="623"/>
      <c r="BZ14" s="623"/>
      <c r="CA14" s="623"/>
      <c r="CB14" s="623"/>
      <c r="CC14" s="623"/>
      <c r="CD14" s="623"/>
      <c r="CE14" s="623"/>
      <c r="CF14" s="623"/>
      <c r="CG14" s="623"/>
      <c r="CH14" s="623"/>
      <c r="CI14" s="623"/>
      <c r="CJ14" s="623"/>
      <c r="CK14" s="623"/>
      <c r="CL14" s="623"/>
      <c r="CM14" s="623"/>
      <c r="CN14" s="623"/>
      <c r="CO14" s="623"/>
      <c r="CP14" s="623"/>
      <c r="CQ14" s="623"/>
      <c r="CR14" s="623"/>
      <c r="CS14" s="623"/>
      <c r="CT14" s="623"/>
      <c r="CU14" s="623"/>
      <c r="CV14" s="623"/>
      <c r="CW14" s="623"/>
      <c r="CX14" s="623"/>
      <c r="CY14" s="623"/>
      <c r="CZ14" s="623"/>
      <c r="DA14" s="623"/>
      <c r="DB14" s="623"/>
      <c r="DC14" s="623"/>
      <c r="DD14" s="623"/>
      <c r="DE14" s="623"/>
      <c r="DF14" s="623"/>
      <c r="DG14" s="623"/>
      <c r="DH14" s="623"/>
      <c r="DI14" s="623"/>
      <c r="DJ14" s="623"/>
      <c r="DK14" s="623"/>
      <c r="DL14" s="623"/>
      <c r="DM14" s="623"/>
      <c r="DN14" s="623"/>
      <c r="DO14" s="623"/>
      <c r="DP14" s="623"/>
      <c r="DQ14" s="623"/>
      <c r="DR14" s="623"/>
      <c r="DS14" s="623"/>
      <c r="DT14" s="623"/>
      <c r="DU14" s="623"/>
      <c r="DV14" s="623"/>
      <c r="DW14" s="623"/>
      <c r="DX14" s="623"/>
    </row>
    <row r="15">
      <c r="A15" s="622" t="str">
        <f t="array" ref="A15">IFERROR(INDEX('👾 RAW MAPPING'!$A$59:$A$73, SMALL(IF('👾 RAW MAPPING'!$A$59:$A$73&lt;&gt;"", ROW('👾 RAW MAPPING'!$A$59:$A$73)-ROW('👾 RAW MAPPING'!$A$59)+1), ROW(A15)-ROW(A$2)+1)), "")</f>
        <v/>
      </c>
      <c r="B15" s="622" t="str">
        <f t="array" ref="B15">IFERROR(INDEX('👾 RAW MAPPING'!$B$59:$B$73, SMALL(IF('👾 RAW MAPPING'!$B$59:$B$73&lt;&gt;"", ROW('👾 RAW MAPPING'!$B$59:$B$73)-ROW('👾 RAW MAPPING'!$B$59)+1), ROW(B15)-ROW(B$2)+1)), "")</f>
        <v/>
      </c>
      <c r="C15" s="622" t="str">
        <f t="array" ref="C15">IFERROR(INDEX('👾 RAW MAPPING'!$C$59:$C$73, SMALL(IF('👾 RAW MAPPING'!$C$59:$C$73&lt;&gt;"", ROW('👾 RAW MAPPING'!$C$59:$C$73)-ROW('👾 RAW MAPPING'!$C$59)+1), ROW(C15)-ROW(C$2)+1)), "")</f>
        <v/>
      </c>
      <c r="D15" s="623"/>
      <c r="E15" s="623"/>
      <c r="F15" s="622" t="str">
        <f t="array" ref="F15">IFERROR(INDEX('👾 RAW MAPPING'!$F$59:$F$73, SMALL(IF('👾 RAW MAPPING'!$F$59:$F$73&lt;&gt;"", ROW('👾 RAW MAPPING'!$F$59:$F$73)-ROW('👾 RAW MAPPING'!$F$59)+1), ROW(F15)-ROW(F$2)+1)), "")</f>
        <v/>
      </c>
      <c r="G15" s="622" t="str">
        <f t="array" ref="G15">IFERROR(INDEX('👾 RAW MAPPING'!$G$59:$G$73, SMALL(IF('👾 RAW MAPPING'!$G$59:$G$73&lt;&gt;"", ROW('👾 RAW MAPPING'!$G$59:$G$73)-ROW('👾 RAW MAPPING'!$G$59)+1), ROW(G15)-ROW(G$2)+1)), "")</f>
        <v/>
      </c>
      <c r="H15" s="623"/>
      <c r="I15" s="623"/>
      <c r="J15" s="623"/>
      <c r="K15" s="623"/>
      <c r="L15" s="623"/>
      <c r="M15" s="622" t="str">
        <f t="array" ref="M15">IFERROR(INDEX('👾 RAW MAPPING'!$M$59:$M$73, SMALL(IF('👾 RAW MAPPING'!$M$59:$M$73&lt;&gt;"", ROW('👾 RAW MAPPING'!$M$59:$M$73)-ROW('👾 RAW MAPPING'!$M$59)+1), ROW(M15)-ROW(M$2)+1)), "")</f>
        <v/>
      </c>
      <c r="N15" s="625" t="str">
        <f t="shared" si="1"/>
        <v/>
      </c>
      <c r="O15" s="623"/>
      <c r="P15" s="623"/>
      <c r="Q15" s="623"/>
      <c r="R15" s="623"/>
      <c r="S15" s="623" t="str">
        <f t="shared" si="2"/>
        <v/>
      </c>
      <c r="T15" s="623"/>
      <c r="U15" s="625" t="str">
        <f t="shared" si="3"/>
        <v/>
      </c>
      <c r="V15" s="623"/>
      <c r="W15" s="623"/>
      <c r="X15" s="623"/>
      <c r="Y15" s="623"/>
      <c r="Z15" s="623"/>
      <c r="AA15" s="623"/>
      <c r="AB15" s="623"/>
      <c r="AC15" s="623"/>
      <c r="AD15" s="623"/>
      <c r="AE15" s="623"/>
      <c r="AF15" s="623"/>
      <c r="AG15" s="623"/>
      <c r="AH15" s="623"/>
      <c r="AI15" s="623"/>
      <c r="AJ15" s="623"/>
      <c r="AK15" s="623"/>
      <c r="AL15" s="623"/>
      <c r="AM15" s="623"/>
      <c r="AN15" s="623"/>
      <c r="AO15" s="623"/>
      <c r="AP15" s="623"/>
      <c r="AQ15" s="623"/>
      <c r="AR15" s="623"/>
      <c r="AS15" s="623"/>
      <c r="AT15" s="623"/>
      <c r="AU15" s="623"/>
      <c r="AV15" s="623"/>
      <c r="AW15" s="623"/>
      <c r="AX15" s="623"/>
      <c r="AY15" s="623"/>
      <c r="AZ15" s="623"/>
      <c r="BA15" s="623"/>
      <c r="BB15" s="623"/>
      <c r="BC15" s="623"/>
      <c r="BD15" s="623"/>
      <c r="BE15" s="623"/>
      <c r="BF15" s="623"/>
      <c r="BG15" s="623"/>
      <c r="BH15" s="623"/>
      <c r="BI15" s="623"/>
      <c r="BJ15" s="623"/>
      <c r="BK15" s="623"/>
      <c r="BL15" s="623"/>
      <c r="BM15" s="623"/>
      <c r="BN15" s="623"/>
      <c r="BO15" s="623"/>
      <c r="BP15" s="623"/>
      <c r="BQ15" s="623"/>
      <c r="BR15" s="623"/>
      <c r="BS15" s="623"/>
      <c r="BT15" s="623"/>
      <c r="BU15" s="623"/>
      <c r="BV15" s="623"/>
      <c r="BW15" s="623"/>
      <c r="BX15" s="623"/>
      <c r="BY15" s="623"/>
      <c r="BZ15" s="623"/>
      <c r="CA15" s="623"/>
      <c r="CB15" s="623"/>
      <c r="CC15" s="623"/>
      <c r="CD15" s="623"/>
      <c r="CE15" s="623"/>
      <c r="CF15" s="623"/>
      <c r="CG15" s="623"/>
      <c r="CH15" s="623"/>
      <c r="CI15" s="623"/>
      <c r="CJ15" s="623"/>
      <c r="CK15" s="623"/>
      <c r="CL15" s="623"/>
      <c r="CM15" s="623"/>
      <c r="CN15" s="623"/>
      <c r="CO15" s="623"/>
      <c r="CP15" s="623"/>
      <c r="CQ15" s="623"/>
      <c r="CR15" s="623"/>
      <c r="CS15" s="623"/>
      <c r="CT15" s="623"/>
      <c r="CU15" s="623"/>
      <c r="CV15" s="623"/>
      <c r="CW15" s="623"/>
      <c r="CX15" s="623"/>
      <c r="CY15" s="623"/>
      <c r="CZ15" s="623"/>
      <c r="DA15" s="623"/>
      <c r="DB15" s="623"/>
      <c r="DC15" s="623"/>
      <c r="DD15" s="623"/>
      <c r="DE15" s="623"/>
      <c r="DF15" s="623"/>
      <c r="DG15" s="623"/>
      <c r="DH15" s="623"/>
      <c r="DI15" s="623"/>
      <c r="DJ15" s="623"/>
      <c r="DK15" s="623"/>
      <c r="DL15" s="623"/>
      <c r="DM15" s="623"/>
      <c r="DN15" s="623"/>
      <c r="DO15" s="623"/>
      <c r="DP15" s="623"/>
      <c r="DQ15" s="623"/>
      <c r="DR15" s="623"/>
      <c r="DS15" s="623"/>
      <c r="DT15" s="623"/>
      <c r="DU15" s="623"/>
      <c r="DV15" s="623"/>
      <c r="DW15" s="623"/>
      <c r="DX15" s="623"/>
    </row>
    <row r="16">
      <c r="A16" s="622" t="str">
        <f t="array" ref="A16">IFERROR(INDEX('👾 RAW MAPPING'!$A$59:$A$73, SMALL(IF('👾 RAW MAPPING'!$A$59:$A$73&lt;&gt;"", ROW('👾 RAW MAPPING'!$A$59:$A$73)-ROW('👾 RAW MAPPING'!$A$59)+1), ROW(A16)-ROW(A$2)+1)), "")</f>
        <v/>
      </c>
      <c r="B16" s="622" t="str">
        <f t="array" ref="B16">IFERROR(INDEX('👾 RAW MAPPING'!$B$59:$B$73, SMALL(IF('👾 RAW MAPPING'!$B$59:$B$73&lt;&gt;"", ROW('👾 RAW MAPPING'!$B$59:$B$73)-ROW('👾 RAW MAPPING'!$B$59)+1), ROW(B16)-ROW(B$2)+1)), "")</f>
        <v/>
      </c>
      <c r="C16" s="622" t="str">
        <f t="array" ref="C16">IFERROR(INDEX('👾 RAW MAPPING'!$C$59:$C$73, SMALL(IF('👾 RAW MAPPING'!$C$59:$C$73&lt;&gt;"", ROW('👾 RAW MAPPING'!$C$59:$C$73)-ROW('👾 RAW MAPPING'!$C$59)+1), ROW(C16)-ROW(C$2)+1)), "")</f>
        <v/>
      </c>
      <c r="D16" s="623"/>
      <c r="E16" s="623"/>
      <c r="F16" s="622" t="str">
        <f t="array" ref="F16">IFERROR(INDEX('👾 RAW MAPPING'!$F$59:$F$73, SMALL(IF('👾 RAW MAPPING'!$F$59:$F$73&lt;&gt;"", ROW('👾 RAW MAPPING'!$F$59:$F$73)-ROW('👾 RAW MAPPING'!$F$59)+1), ROW(F16)-ROW(F$2)+1)), "")</f>
        <v/>
      </c>
      <c r="G16" s="622" t="str">
        <f t="array" ref="G16">IFERROR(INDEX('👾 RAW MAPPING'!$G$59:$G$73, SMALL(IF('👾 RAW MAPPING'!$G$59:$G$73&lt;&gt;"", ROW('👾 RAW MAPPING'!$G$59:$G$73)-ROW('👾 RAW MAPPING'!$G$59)+1), ROW(G16)-ROW(G$2)+1)), "")</f>
        <v/>
      </c>
      <c r="H16" s="623"/>
      <c r="I16" s="623"/>
      <c r="J16" s="623"/>
      <c r="K16" s="623"/>
      <c r="L16" s="623"/>
      <c r="M16" s="622" t="str">
        <f t="array" ref="M16">IFERROR(INDEX('👾 RAW MAPPING'!$M$59:$M$73, SMALL(IF('👾 RAW MAPPING'!$M$59:$M$73&lt;&gt;"", ROW('👾 RAW MAPPING'!$M$59:$M$73)-ROW('👾 RAW MAPPING'!$M$59)+1), ROW(M16)-ROW(M$2)+1)), "")</f>
        <v/>
      </c>
      <c r="N16" s="625" t="str">
        <f t="shared" si="1"/>
        <v/>
      </c>
      <c r="O16" s="623"/>
      <c r="P16" s="623"/>
      <c r="Q16" s="623"/>
      <c r="R16" s="623"/>
      <c r="S16" s="623" t="str">
        <f t="shared" si="2"/>
        <v/>
      </c>
      <c r="T16" s="623"/>
      <c r="U16" s="625" t="str">
        <f t="shared" si="3"/>
        <v/>
      </c>
      <c r="V16" s="623"/>
      <c r="W16" s="623"/>
      <c r="X16" s="623"/>
      <c r="Y16" s="623"/>
      <c r="Z16" s="623"/>
      <c r="AA16" s="623"/>
      <c r="AB16" s="623"/>
      <c r="AC16" s="623"/>
      <c r="AD16" s="623"/>
      <c r="AE16" s="623"/>
      <c r="AF16" s="623"/>
      <c r="AG16" s="623"/>
      <c r="AH16" s="623"/>
      <c r="AI16" s="623"/>
      <c r="AJ16" s="623"/>
      <c r="AK16" s="623"/>
      <c r="AL16" s="623"/>
      <c r="AM16" s="623"/>
      <c r="AN16" s="623"/>
      <c r="AO16" s="623"/>
      <c r="AP16" s="623"/>
      <c r="AQ16" s="623"/>
      <c r="AR16" s="623"/>
      <c r="AS16" s="623"/>
      <c r="AT16" s="623"/>
      <c r="AU16" s="623"/>
      <c r="AV16" s="623"/>
      <c r="AW16" s="623"/>
      <c r="AX16" s="623"/>
      <c r="AY16" s="623"/>
      <c r="AZ16" s="623"/>
      <c r="BA16" s="623"/>
      <c r="BB16" s="623"/>
      <c r="BC16" s="623"/>
      <c r="BD16" s="623"/>
      <c r="BE16" s="623"/>
      <c r="BF16" s="623"/>
      <c r="BG16" s="623"/>
      <c r="BH16" s="623"/>
      <c r="BI16" s="623"/>
      <c r="BJ16" s="623"/>
      <c r="BK16" s="623"/>
      <c r="BL16" s="623"/>
      <c r="BM16" s="623"/>
      <c r="BN16" s="623"/>
      <c r="BO16" s="623"/>
      <c r="BP16" s="623"/>
      <c r="BQ16" s="623"/>
      <c r="BR16" s="623"/>
      <c r="BS16" s="623"/>
      <c r="BT16" s="623"/>
      <c r="BU16" s="623"/>
      <c r="BV16" s="623"/>
      <c r="BW16" s="623"/>
      <c r="BX16" s="623"/>
      <c r="BY16" s="623"/>
      <c r="BZ16" s="623"/>
      <c r="CA16" s="623"/>
      <c r="CB16" s="623"/>
      <c r="CC16" s="623"/>
      <c r="CD16" s="623"/>
      <c r="CE16" s="623"/>
      <c r="CF16" s="623"/>
      <c r="CG16" s="623"/>
      <c r="CH16" s="623"/>
      <c r="CI16" s="623"/>
      <c r="CJ16" s="623"/>
      <c r="CK16" s="623"/>
      <c r="CL16" s="623"/>
      <c r="CM16" s="623"/>
      <c r="CN16" s="623"/>
      <c r="CO16" s="623"/>
      <c r="CP16" s="623"/>
      <c r="CQ16" s="623"/>
      <c r="CR16" s="623"/>
      <c r="CS16" s="623"/>
      <c r="CT16" s="623"/>
      <c r="CU16" s="623"/>
      <c r="CV16" s="623"/>
      <c r="CW16" s="623"/>
      <c r="CX16" s="623"/>
      <c r="CY16" s="623"/>
      <c r="CZ16" s="623"/>
      <c r="DA16" s="623"/>
      <c r="DB16" s="623"/>
      <c r="DC16" s="623"/>
      <c r="DD16" s="623"/>
      <c r="DE16" s="623"/>
      <c r="DF16" s="623"/>
      <c r="DG16" s="623"/>
      <c r="DH16" s="623"/>
      <c r="DI16" s="623"/>
      <c r="DJ16" s="623"/>
      <c r="DK16" s="623"/>
      <c r="DL16" s="623"/>
      <c r="DM16" s="623"/>
      <c r="DN16" s="623"/>
      <c r="DO16" s="623"/>
      <c r="DP16" s="623"/>
      <c r="DQ16" s="623"/>
      <c r="DR16" s="623"/>
      <c r="DS16" s="623"/>
      <c r="DT16" s="623"/>
      <c r="DU16" s="623"/>
      <c r="DV16" s="623"/>
      <c r="DW16" s="623"/>
      <c r="DX16" s="623"/>
    </row>
    <row r="17">
      <c r="M17" s="626"/>
      <c r="N17" s="627"/>
      <c r="U17" s="627"/>
    </row>
    <row r="18">
      <c r="N18" s="627"/>
      <c r="U18" s="627"/>
    </row>
    <row r="19">
      <c r="N19" s="627"/>
      <c r="U19" s="627"/>
    </row>
    <row r="20">
      <c r="N20" s="627"/>
      <c r="U20" s="627"/>
    </row>
    <row r="21">
      <c r="N21" s="627"/>
      <c r="U21" s="627"/>
    </row>
    <row r="22">
      <c r="N22" s="627"/>
      <c r="U22" s="627"/>
    </row>
    <row r="23">
      <c r="N23" s="627"/>
      <c r="U23" s="627"/>
    </row>
    <row r="24">
      <c r="N24" s="627"/>
      <c r="U24" s="627"/>
    </row>
    <row r="25">
      <c r="N25" s="627"/>
      <c r="U25" s="627"/>
    </row>
    <row r="26">
      <c r="N26" s="627"/>
      <c r="U26" s="627"/>
    </row>
    <row r="27">
      <c r="N27" s="627"/>
      <c r="U27" s="627"/>
    </row>
    <row r="28">
      <c r="N28" s="627"/>
      <c r="U28" s="627"/>
    </row>
    <row r="29">
      <c r="N29" s="627"/>
      <c r="U29" s="627"/>
    </row>
    <row r="30">
      <c r="N30" s="627"/>
      <c r="U30" s="627"/>
    </row>
    <row r="31">
      <c r="N31" s="627"/>
      <c r="U31" s="627"/>
    </row>
    <row r="32">
      <c r="N32" s="627"/>
      <c r="U32" s="627"/>
    </row>
    <row r="33">
      <c r="N33" s="627"/>
      <c r="U33" s="627"/>
    </row>
    <row r="34">
      <c r="N34" s="627"/>
      <c r="U34" s="627"/>
    </row>
    <row r="35">
      <c r="N35" s="627"/>
      <c r="U35" s="627"/>
    </row>
    <row r="36">
      <c r="N36" s="627"/>
      <c r="U36" s="627"/>
    </row>
    <row r="37">
      <c r="N37" s="627"/>
      <c r="U37" s="627"/>
    </row>
    <row r="38">
      <c r="N38" s="627"/>
      <c r="U38" s="627"/>
    </row>
    <row r="39">
      <c r="N39" s="627"/>
      <c r="U39" s="627"/>
    </row>
    <row r="40">
      <c r="N40" s="627"/>
      <c r="U40" s="627"/>
    </row>
    <row r="41">
      <c r="N41" s="627"/>
      <c r="U41" s="627"/>
    </row>
    <row r="42">
      <c r="N42" s="627"/>
      <c r="U42" s="627"/>
    </row>
    <row r="43">
      <c r="N43" s="627"/>
      <c r="U43" s="627"/>
    </row>
    <row r="44">
      <c r="N44" s="627"/>
      <c r="U44" s="627"/>
    </row>
    <row r="45">
      <c r="N45" s="627"/>
      <c r="U45" s="627"/>
    </row>
    <row r="46">
      <c r="N46" s="627"/>
      <c r="U46" s="627"/>
    </row>
    <row r="47">
      <c r="N47" s="627"/>
      <c r="U47" s="627"/>
    </row>
    <row r="48">
      <c r="N48" s="627"/>
      <c r="U48" s="627"/>
    </row>
    <row r="49">
      <c r="N49" s="627"/>
      <c r="U49" s="627"/>
    </row>
    <row r="50">
      <c r="N50" s="627"/>
      <c r="U50" s="627"/>
    </row>
    <row r="51">
      <c r="N51" s="627"/>
      <c r="U51" s="627"/>
    </row>
    <row r="52">
      <c r="N52" s="627"/>
      <c r="U52" s="627"/>
    </row>
    <row r="53">
      <c r="N53" s="627"/>
      <c r="U53" s="627"/>
    </row>
    <row r="54">
      <c r="N54" s="627"/>
      <c r="U54" s="627"/>
    </row>
    <row r="55">
      <c r="N55" s="627"/>
      <c r="U55" s="627"/>
    </row>
    <row r="56">
      <c r="N56" s="627"/>
      <c r="U56" s="627"/>
    </row>
    <row r="57">
      <c r="N57" s="627"/>
      <c r="U57" s="627"/>
    </row>
    <row r="58">
      <c r="N58" s="627"/>
      <c r="U58" s="627"/>
    </row>
    <row r="59">
      <c r="N59" s="627"/>
      <c r="U59" s="627"/>
    </row>
    <row r="60">
      <c r="N60" s="627"/>
      <c r="U60" s="627"/>
    </row>
    <row r="61">
      <c r="N61" s="627"/>
      <c r="U61" s="627"/>
    </row>
    <row r="62">
      <c r="N62" s="627"/>
      <c r="U62" s="627"/>
    </row>
    <row r="63">
      <c r="N63" s="627"/>
      <c r="U63" s="627"/>
    </row>
    <row r="64">
      <c r="N64" s="627"/>
      <c r="U64" s="627"/>
    </row>
    <row r="65">
      <c r="N65" s="627"/>
      <c r="U65" s="627"/>
    </row>
    <row r="66">
      <c r="N66" s="627"/>
      <c r="U66" s="627"/>
    </row>
    <row r="67">
      <c r="N67" s="627"/>
      <c r="U67" s="627"/>
    </row>
    <row r="68">
      <c r="N68" s="627"/>
      <c r="U68" s="627"/>
    </row>
    <row r="69">
      <c r="N69" s="627"/>
      <c r="U69" s="627"/>
    </row>
    <row r="70">
      <c r="N70" s="627"/>
      <c r="U70" s="627"/>
    </row>
    <row r="71">
      <c r="N71" s="627"/>
      <c r="U71" s="627"/>
    </row>
    <row r="72">
      <c r="N72" s="627"/>
      <c r="U72" s="627"/>
    </row>
    <row r="73">
      <c r="N73" s="627"/>
      <c r="U73" s="627"/>
    </row>
    <row r="74">
      <c r="N74" s="627"/>
      <c r="U74" s="627"/>
    </row>
    <row r="75">
      <c r="N75" s="627"/>
      <c r="U75" s="627"/>
    </row>
    <row r="76">
      <c r="N76" s="627"/>
      <c r="U76" s="627"/>
    </row>
    <row r="77">
      <c r="N77" s="627"/>
      <c r="U77" s="627"/>
    </row>
    <row r="78">
      <c r="N78" s="627"/>
      <c r="U78" s="627"/>
    </row>
    <row r="79">
      <c r="N79" s="627"/>
      <c r="U79" s="627"/>
    </row>
    <row r="80">
      <c r="N80" s="627"/>
      <c r="U80" s="627"/>
    </row>
    <row r="81">
      <c r="N81" s="627"/>
      <c r="U81" s="627"/>
    </row>
    <row r="82">
      <c r="N82" s="627"/>
      <c r="U82" s="627"/>
    </row>
    <row r="83">
      <c r="N83" s="627"/>
      <c r="U83" s="627"/>
    </row>
    <row r="84">
      <c r="N84" s="627"/>
      <c r="U84" s="627"/>
    </row>
    <row r="85">
      <c r="N85" s="627"/>
      <c r="U85" s="627"/>
    </row>
    <row r="86">
      <c r="N86" s="627"/>
      <c r="U86" s="627"/>
    </row>
    <row r="87">
      <c r="N87" s="627"/>
      <c r="U87" s="627"/>
    </row>
    <row r="88">
      <c r="N88" s="627"/>
      <c r="U88" s="627"/>
    </row>
    <row r="89">
      <c r="N89" s="627"/>
      <c r="U89" s="627"/>
    </row>
    <row r="90">
      <c r="N90" s="627"/>
      <c r="U90" s="627"/>
    </row>
    <row r="91">
      <c r="N91" s="627"/>
      <c r="U91" s="627"/>
    </row>
    <row r="92">
      <c r="N92" s="627"/>
      <c r="U92" s="627"/>
    </row>
    <row r="93">
      <c r="N93" s="627"/>
      <c r="U93" s="627"/>
    </row>
    <row r="94">
      <c r="N94" s="627"/>
      <c r="U94" s="627"/>
    </row>
    <row r="95">
      <c r="N95" s="627"/>
      <c r="U95" s="627"/>
    </row>
    <row r="96">
      <c r="N96" s="627"/>
      <c r="U96" s="627"/>
    </row>
    <row r="97">
      <c r="N97" s="627"/>
      <c r="U97" s="627"/>
    </row>
    <row r="98">
      <c r="N98" s="627"/>
      <c r="U98" s="627"/>
    </row>
    <row r="99">
      <c r="N99" s="627"/>
      <c r="U99" s="627"/>
    </row>
    <row r="100">
      <c r="N100" s="627"/>
      <c r="U100" s="627"/>
    </row>
    <row r="101">
      <c r="N101" s="627"/>
      <c r="U101" s="627"/>
    </row>
    <row r="102">
      <c r="N102" s="627"/>
      <c r="U102" s="627"/>
    </row>
    <row r="103">
      <c r="N103" s="627"/>
      <c r="U103" s="627"/>
    </row>
    <row r="104">
      <c r="N104" s="627"/>
      <c r="U104" s="627"/>
    </row>
    <row r="105">
      <c r="N105" s="627"/>
      <c r="U105" s="627"/>
    </row>
    <row r="106">
      <c r="N106" s="627"/>
      <c r="U106" s="627"/>
    </row>
    <row r="107">
      <c r="N107" s="627"/>
      <c r="U107" s="627"/>
    </row>
    <row r="108">
      <c r="N108" s="627"/>
      <c r="U108" s="627"/>
    </row>
    <row r="109">
      <c r="N109" s="627"/>
      <c r="U109" s="627"/>
    </row>
    <row r="110">
      <c r="N110" s="627"/>
      <c r="U110" s="627"/>
    </row>
    <row r="111">
      <c r="N111" s="627"/>
      <c r="U111" s="627"/>
    </row>
    <row r="112">
      <c r="N112" s="627"/>
      <c r="U112" s="627"/>
    </row>
    <row r="113">
      <c r="N113" s="627"/>
      <c r="U113" s="627"/>
    </row>
    <row r="114">
      <c r="N114" s="627"/>
      <c r="U114" s="627"/>
    </row>
    <row r="115">
      <c r="N115" s="627"/>
      <c r="U115" s="627"/>
    </row>
    <row r="116">
      <c r="N116" s="627"/>
      <c r="U116" s="627"/>
    </row>
    <row r="117">
      <c r="N117" s="627"/>
      <c r="U117" s="627"/>
    </row>
    <row r="118">
      <c r="N118" s="627"/>
      <c r="U118" s="627"/>
    </row>
    <row r="119">
      <c r="N119" s="627"/>
      <c r="U119" s="627"/>
    </row>
    <row r="120">
      <c r="N120" s="627"/>
      <c r="U120" s="627"/>
    </row>
    <row r="121">
      <c r="N121" s="627"/>
      <c r="U121" s="627"/>
    </row>
    <row r="122">
      <c r="N122" s="627"/>
      <c r="U122" s="627"/>
    </row>
    <row r="123">
      <c r="N123" s="627"/>
      <c r="U123" s="627"/>
    </row>
    <row r="124">
      <c r="N124" s="627"/>
      <c r="U124" s="627"/>
    </row>
    <row r="125">
      <c r="N125" s="627"/>
      <c r="U125" s="627"/>
    </row>
    <row r="126">
      <c r="N126" s="627"/>
      <c r="U126" s="627"/>
    </row>
    <row r="127">
      <c r="N127" s="627"/>
      <c r="U127" s="627"/>
    </row>
    <row r="128">
      <c r="N128" s="627"/>
      <c r="U128" s="627"/>
    </row>
    <row r="129">
      <c r="N129" s="627"/>
      <c r="U129" s="627"/>
    </row>
    <row r="130">
      <c r="N130" s="627"/>
      <c r="U130" s="627"/>
    </row>
    <row r="131">
      <c r="N131" s="627"/>
      <c r="U131" s="627"/>
    </row>
    <row r="132">
      <c r="N132" s="627"/>
      <c r="U132" s="627"/>
    </row>
    <row r="133">
      <c r="N133" s="627"/>
      <c r="U133" s="627"/>
    </row>
    <row r="134">
      <c r="N134" s="627"/>
      <c r="U134" s="627"/>
    </row>
    <row r="135">
      <c r="N135" s="627"/>
      <c r="U135" s="627"/>
    </row>
    <row r="136">
      <c r="N136" s="627"/>
      <c r="U136" s="627"/>
    </row>
    <row r="137">
      <c r="N137" s="627"/>
      <c r="U137" s="627"/>
    </row>
    <row r="138">
      <c r="N138" s="627"/>
      <c r="U138" s="627"/>
    </row>
    <row r="139">
      <c r="N139" s="627"/>
      <c r="U139" s="627"/>
    </row>
    <row r="140">
      <c r="N140" s="627"/>
      <c r="U140" s="627"/>
    </row>
    <row r="141">
      <c r="N141" s="627"/>
      <c r="U141" s="627"/>
    </row>
    <row r="142">
      <c r="N142" s="627"/>
      <c r="U142" s="627"/>
    </row>
    <row r="143">
      <c r="N143" s="627"/>
      <c r="U143" s="627"/>
    </row>
    <row r="144">
      <c r="N144" s="627"/>
      <c r="U144" s="627"/>
    </row>
    <row r="145">
      <c r="N145" s="627"/>
      <c r="U145" s="627"/>
    </row>
    <row r="146">
      <c r="N146" s="627"/>
      <c r="U146" s="627"/>
    </row>
    <row r="147">
      <c r="N147" s="627"/>
      <c r="U147" s="627"/>
    </row>
    <row r="148">
      <c r="N148" s="627"/>
      <c r="U148" s="627"/>
    </row>
    <row r="149">
      <c r="N149" s="627"/>
      <c r="U149" s="627"/>
    </row>
    <row r="150">
      <c r="N150" s="627"/>
      <c r="U150" s="627"/>
    </row>
    <row r="151">
      <c r="N151" s="627"/>
      <c r="U151" s="627"/>
    </row>
    <row r="152">
      <c r="N152" s="627"/>
      <c r="U152" s="627"/>
    </row>
    <row r="153">
      <c r="N153" s="627"/>
      <c r="U153" s="627"/>
    </row>
    <row r="154">
      <c r="N154" s="627"/>
      <c r="U154" s="627"/>
    </row>
    <row r="155">
      <c r="N155" s="627"/>
      <c r="U155" s="627"/>
    </row>
    <row r="156">
      <c r="N156" s="627"/>
      <c r="U156" s="627"/>
    </row>
    <row r="157">
      <c r="N157" s="627"/>
      <c r="U157" s="627"/>
    </row>
    <row r="158">
      <c r="N158" s="627"/>
      <c r="U158" s="627"/>
    </row>
    <row r="159">
      <c r="N159" s="627"/>
      <c r="U159" s="627"/>
    </row>
    <row r="160">
      <c r="N160" s="627"/>
      <c r="U160" s="627"/>
    </row>
    <row r="161">
      <c r="N161" s="627"/>
      <c r="U161" s="627"/>
    </row>
    <row r="162">
      <c r="N162" s="627"/>
      <c r="U162" s="627"/>
    </row>
    <row r="163">
      <c r="N163" s="627"/>
      <c r="U163" s="627"/>
    </row>
    <row r="164">
      <c r="N164" s="627"/>
      <c r="U164" s="627"/>
    </row>
    <row r="165">
      <c r="N165" s="627"/>
      <c r="U165" s="627"/>
    </row>
    <row r="166">
      <c r="N166" s="627"/>
      <c r="U166" s="627"/>
    </row>
    <row r="167">
      <c r="N167" s="627"/>
      <c r="U167" s="627"/>
    </row>
    <row r="168">
      <c r="N168" s="627"/>
      <c r="U168" s="627"/>
    </row>
    <row r="169">
      <c r="N169" s="627"/>
      <c r="U169" s="627"/>
    </row>
    <row r="170">
      <c r="N170" s="627"/>
      <c r="U170" s="627"/>
    </row>
    <row r="171">
      <c r="N171" s="627"/>
      <c r="U171" s="627"/>
    </row>
    <row r="172">
      <c r="N172" s="627"/>
      <c r="U172" s="627"/>
    </row>
    <row r="173">
      <c r="N173" s="627"/>
      <c r="U173" s="627"/>
    </row>
    <row r="174">
      <c r="N174" s="627"/>
      <c r="U174" s="627"/>
    </row>
    <row r="175">
      <c r="N175" s="627"/>
      <c r="U175" s="627"/>
    </row>
    <row r="176">
      <c r="N176" s="627"/>
      <c r="U176" s="627"/>
    </row>
    <row r="177">
      <c r="N177" s="627"/>
      <c r="U177" s="627"/>
    </row>
    <row r="178">
      <c r="N178" s="627"/>
      <c r="U178" s="627"/>
    </row>
    <row r="179">
      <c r="N179" s="627"/>
      <c r="U179" s="627"/>
    </row>
    <row r="180">
      <c r="N180" s="627"/>
      <c r="U180" s="627"/>
    </row>
    <row r="181">
      <c r="N181" s="627"/>
      <c r="U181" s="627"/>
    </row>
    <row r="182">
      <c r="N182" s="627"/>
      <c r="U182" s="627"/>
    </row>
    <row r="183">
      <c r="N183" s="627"/>
      <c r="U183" s="627"/>
    </row>
    <row r="184">
      <c r="N184" s="627"/>
      <c r="U184" s="627"/>
    </row>
    <row r="185">
      <c r="N185" s="627"/>
      <c r="U185" s="627"/>
    </row>
    <row r="186">
      <c r="N186" s="627"/>
      <c r="U186" s="627"/>
    </row>
    <row r="187">
      <c r="N187" s="627"/>
      <c r="U187" s="627"/>
    </row>
    <row r="188">
      <c r="N188" s="627"/>
      <c r="U188" s="627"/>
    </row>
    <row r="189">
      <c r="N189" s="627"/>
      <c r="U189" s="627"/>
    </row>
    <row r="190">
      <c r="N190" s="627"/>
      <c r="U190" s="627"/>
    </row>
    <row r="191">
      <c r="N191" s="627"/>
      <c r="U191" s="627"/>
    </row>
    <row r="192">
      <c r="N192" s="627"/>
      <c r="U192" s="627"/>
    </row>
    <row r="193">
      <c r="N193" s="627"/>
      <c r="U193" s="627"/>
    </row>
    <row r="194">
      <c r="N194" s="627"/>
      <c r="U194" s="627"/>
    </row>
    <row r="195">
      <c r="N195" s="627"/>
      <c r="U195" s="627"/>
    </row>
    <row r="196">
      <c r="N196" s="627"/>
      <c r="U196" s="627"/>
    </row>
    <row r="197">
      <c r="N197" s="627"/>
      <c r="U197" s="627"/>
    </row>
    <row r="198">
      <c r="N198" s="627"/>
      <c r="U198" s="627"/>
    </row>
    <row r="199">
      <c r="N199" s="627"/>
      <c r="U199" s="627"/>
    </row>
    <row r="200">
      <c r="N200" s="627"/>
      <c r="U200" s="627"/>
    </row>
    <row r="201">
      <c r="N201" s="627"/>
      <c r="U201" s="627"/>
    </row>
    <row r="202">
      <c r="N202" s="627"/>
      <c r="U202" s="627"/>
    </row>
    <row r="203">
      <c r="N203" s="627"/>
      <c r="U203" s="627"/>
    </row>
    <row r="204">
      <c r="N204" s="627"/>
      <c r="U204" s="627"/>
    </row>
    <row r="205">
      <c r="N205" s="627"/>
      <c r="U205" s="627"/>
    </row>
    <row r="206">
      <c r="N206" s="627"/>
      <c r="U206" s="627"/>
    </row>
    <row r="207">
      <c r="N207" s="627"/>
      <c r="U207" s="627"/>
    </row>
    <row r="208">
      <c r="N208" s="627"/>
      <c r="U208" s="627"/>
    </row>
    <row r="209">
      <c r="N209" s="627"/>
      <c r="U209" s="627"/>
    </row>
    <row r="210">
      <c r="N210" s="627"/>
      <c r="U210" s="627"/>
    </row>
    <row r="211">
      <c r="N211" s="627"/>
      <c r="U211" s="627"/>
    </row>
    <row r="212">
      <c r="N212" s="627"/>
      <c r="U212" s="627"/>
    </row>
    <row r="213">
      <c r="N213" s="627"/>
      <c r="U213" s="627"/>
    </row>
    <row r="214">
      <c r="N214" s="627"/>
      <c r="U214" s="627"/>
    </row>
    <row r="215">
      <c r="N215" s="627"/>
      <c r="U215" s="627"/>
    </row>
    <row r="216">
      <c r="N216" s="627"/>
      <c r="U216" s="627"/>
    </row>
    <row r="217">
      <c r="N217" s="627"/>
      <c r="U217" s="627"/>
    </row>
    <row r="218">
      <c r="N218" s="627"/>
      <c r="U218" s="627"/>
    </row>
    <row r="219">
      <c r="N219" s="627"/>
      <c r="U219" s="627"/>
    </row>
    <row r="220">
      <c r="N220" s="627"/>
      <c r="U220" s="627"/>
    </row>
    <row r="221">
      <c r="N221" s="627"/>
      <c r="U221" s="627"/>
    </row>
    <row r="222">
      <c r="N222" s="627"/>
      <c r="U222" s="627"/>
    </row>
    <row r="223">
      <c r="N223" s="627"/>
      <c r="U223" s="627"/>
    </row>
    <row r="224">
      <c r="N224" s="627"/>
      <c r="U224" s="627"/>
    </row>
    <row r="225">
      <c r="N225" s="627"/>
      <c r="U225" s="627"/>
    </row>
    <row r="226">
      <c r="N226" s="627"/>
      <c r="U226" s="627"/>
    </row>
    <row r="227">
      <c r="N227" s="627"/>
      <c r="U227" s="627"/>
    </row>
    <row r="228">
      <c r="N228" s="627"/>
      <c r="U228" s="627"/>
    </row>
    <row r="229">
      <c r="N229" s="627"/>
      <c r="U229" s="627"/>
    </row>
    <row r="230">
      <c r="N230" s="627"/>
      <c r="U230" s="627"/>
    </row>
    <row r="231">
      <c r="N231" s="627"/>
      <c r="U231" s="627"/>
    </row>
    <row r="232">
      <c r="N232" s="627"/>
      <c r="U232" s="627"/>
    </row>
    <row r="233">
      <c r="N233" s="627"/>
      <c r="U233" s="627"/>
    </row>
    <row r="234">
      <c r="N234" s="627"/>
      <c r="U234" s="627"/>
    </row>
    <row r="235">
      <c r="N235" s="627"/>
      <c r="U235" s="627"/>
    </row>
    <row r="236">
      <c r="N236" s="627"/>
      <c r="U236" s="627"/>
    </row>
    <row r="237">
      <c r="N237" s="627"/>
      <c r="U237" s="627"/>
    </row>
    <row r="238">
      <c r="N238" s="627"/>
      <c r="U238" s="627"/>
    </row>
    <row r="239">
      <c r="N239" s="627"/>
      <c r="U239" s="627"/>
    </row>
    <row r="240">
      <c r="N240" s="627"/>
      <c r="U240" s="627"/>
    </row>
    <row r="241">
      <c r="N241" s="627"/>
      <c r="U241" s="627"/>
    </row>
    <row r="242">
      <c r="N242" s="627"/>
      <c r="U242" s="627"/>
    </row>
    <row r="243">
      <c r="N243" s="627"/>
      <c r="U243" s="627"/>
    </row>
    <row r="244">
      <c r="N244" s="627"/>
      <c r="U244" s="627"/>
    </row>
    <row r="245">
      <c r="N245" s="627"/>
      <c r="U245" s="627"/>
    </row>
    <row r="246">
      <c r="N246" s="627"/>
      <c r="U246" s="627"/>
    </row>
    <row r="247">
      <c r="N247" s="627"/>
      <c r="U247" s="627"/>
    </row>
    <row r="248">
      <c r="N248" s="627"/>
      <c r="U248" s="627"/>
    </row>
    <row r="249">
      <c r="N249" s="627"/>
      <c r="U249" s="627"/>
    </row>
    <row r="250">
      <c r="N250" s="627"/>
      <c r="U250" s="627"/>
    </row>
    <row r="251">
      <c r="N251" s="627"/>
      <c r="U251" s="627"/>
    </row>
    <row r="252">
      <c r="N252" s="627"/>
      <c r="U252" s="627"/>
    </row>
    <row r="253">
      <c r="N253" s="627"/>
      <c r="U253" s="627"/>
    </row>
    <row r="254">
      <c r="N254" s="627"/>
      <c r="U254" s="627"/>
    </row>
    <row r="255">
      <c r="N255" s="627"/>
      <c r="U255" s="627"/>
    </row>
    <row r="256">
      <c r="N256" s="627"/>
      <c r="U256" s="627"/>
    </row>
    <row r="257">
      <c r="N257" s="627"/>
      <c r="U257" s="627"/>
    </row>
    <row r="258">
      <c r="N258" s="627"/>
      <c r="U258" s="627"/>
    </row>
    <row r="259">
      <c r="N259" s="627"/>
      <c r="U259" s="627"/>
    </row>
    <row r="260">
      <c r="N260" s="627"/>
      <c r="U260" s="627"/>
    </row>
    <row r="261">
      <c r="N261" s="627"/>
      <c r="U261" s="627"/>
    </row>
    <row r="262">
      <c r="N262" s="627"/>
      <c r="U262" s="627"/>
    </row>
    <row r="263">
      <c r="N263" s="627"/>
      <c r="U263" s="627"/>
    </row>
    <row r="264">
      <c r="N264" s="627"/>
      <c r="U264" s="627"/>
    </row>
    <row r="265">
      <c r="N265" s="627"/>
      <c r="U265" s="627"/>
    </row>
    <row r="266">
      <c r="N266" s="627"/>
      <c r="U266" s="627"/>
    </row>
    <row r="267">
      <c r="N267" s="627"/>
      <c r="U267" s="627"/>
    </row>
    <row r="268">
      <c r="N268" s="627"/>
      <c r="U268" s="627"/>
    </row>
    <row r="269">
      <c r="N269" s="627"/>
      <c r="U269" s="627"/>
    </row>
    <row r="270">
      <c r="N270" s="627"/>
      <c r="U270" s="627"/>
    </row>
    <row r="271">
      <c r="N271" s="627"/>
      <c r="U271" s="627"/>
    </row>
    <row r="272">
      <c r="N272" s="627"/>
      <c r="U272" s="627"/>
    </row>
    <row r="273">
      <c r="N273" s="627"/>
      <c r="U273" s="627"/>
    </row>
    <row r="274">
      <c r="N274" s="627"/>
      <c r="U274" s="627"/>
    </row>
    <row r="275">
      <c r="N275" s="627"/>
      <c r="U275" s="627"/>
    </row>
    <row r="276">
      <c r="N276" s="627"/>
      <c r="U276" s="627"/>
    </row>
    <row r="277">
      <c r="N277" s="627"/>
      <c r="U277" s="627"/>
    </row>
    <row r="278">
      <c r="N278" s="627"/>
      <c r="U278" s="627"/>
    </row>
    <row r="279">
      <c r="N279" s="627"/>
      <c r="U279" s="627"/>
    </row>
    <row r="280">
      <c r="N280" s="627"/>
      <c r="U280" s="627"/>
    </row>
    <row r="281">
      <c r="N281" s="627"/>
      <c r="U281" s="627"/>
    </row>
    <row r="282">
      <c r="N282" s="627"/>
      <c r="U282" s="627"/>
    </row>
    <row r="283">
      <c r="N283" s="627"/>
      <c r="U283" s="627"/>
    </row>
    <row r="284">
      <c r="N284" s="627"/>
      <c r="U284" s="627"/>
    </row>
    <row r="285">
      <c r="N285" s="627"/>
      <c r="U285" s="627"/>
    </row>
    <row r="286">
      <c r="N286" s="627"/>
      <c r="U286" s="627"/>
    </row>
    <row r="287">
      <c r="N287" s="627"/>
      <c r="U287" s="627"/>
    </row>
    <row r="288">
      <c r="N288" s="627"/>
      <c r="U288" s="627"/>
    </row>
    <row r="289">
      <c r="N289" s="627"/>
      <c r="U289" s="627"/>
    </row>
    <row r="290">
      <c r="N290" s="627"/>
      <c r="U290" s="627"/>
    </row>
    <row r="291">
      <c r="N291" s="627"/>
      <c r="U291" s="627"/>
    </row>
    <row r="292">
      <c r="N292" s="627"/>
      <c r="U292" s="627"/>
    </row>
    <row r="293">
      <c r="N293" s="627"/>
      <c r="U293" s="627"/>
    </row>
    <row r="294">
      <c r="N294" s="627"/>
      <c r="U294" s="627"/>
    </row>
    <row r="295">
      <c r="N295" s="627"/>
      <c r="U295" s="627"/>
    </row>
    <row r="296">
      <c r="N296" s="627"/>
      <c r="U296" s="627"/>
    </row>
    <row r="297">
      <c r="N297" s="627"/>
      <c r="U297" s="627"/>
    </row>
    <row r="298">
      <c r="N298" s="627"/>
      <c r="U298" s="627"/>
    </row>
    <row r="299">
      <c r="N299" s="627"/>
      <c r="U299" s="627"/>
    </row>
    <row r="300">
      <c r="N300" s="627"/>
      <c r="U300" s="627"/>
    </row>
    <row r="301">
      <c r="N301" s="627"/>
      <c r="U301" s="627"/>
    </row>
    <row r="302">
      <c r="N302" s="627"/>
      <c r="U302" s="627"/>
    </row>
    <row r="303">
      <c r="N303" s="627"/>
      <c r="U303" s="627"/>
    </row>
    <row r="304">
      <c r="N304" s="627"/>
      <c r="U304" s="627"/>
    </row>
    <row r="305">
      <c r="N305" s="627"/>
      <c r="U305" s="627"/>
    </row>
    <row r="306">
      <c r="N306" s="627"/>
      <c r="U306" s="627"/>
    </row>
    <row r="307">
      <c r="N307" s="627"/>
      <c r="U307" s="627"/>
    </row>
    <row r="308">
      <c r="N308" s="627"/>
      <c r="U308" s="627"/>
    </row>
    <row r="309">
      <c r="N309" s="627"/>
      <c r="U309" s="627"/>
    </row>
    <row r="310">
      <c r="N310" s="627"/>
      <c r="U310" s="627"/>
    </row>
    <row r="311">
      <c r="N311" s="627"/>
      <c r="U311" s="627"/>
    </row>
    <row r="312">
      <c r="N312" s="627"/>
      <c r="U312" s="627"/>
    </row>
    <row r="313">
      <c r="N313" s="627"/>
      <c r="U313" s="627"/>
    </row>
    <row r="314">
      <c r="N314" s="627"/>
      <c r="U314" s="627"/>
    </row>
    <row r="315">
      <c r="N315" s="627"/>
      <c r="U315" s="627"/>
    </row>
    <row r="316">
      <c r="N316" s="627"/>
      <c r="U316" s="627"/>
    </row>
    <row r="317">
      <c r="N317" s="627"/>
      <c r="U317" s="627"/>
    </row>
    <row r="318">
      <c r="N318" s="627"/>
      <c r="U318" s="627"/>
    </row>
    <row r="319">
      <c r="N319" s="627"/>
      <c r="U319" s="627"/>
    </row>
    <row r="320">
      <c r="N320" s="627"/>
      <c r="U320" s="627"/>
    </row>
    <row r="321">
      <c r="N321" s="627"/>
      <c r="U321" s="627"/>
    </row>
    <row r="322">
      <c r="N322" s="627"/>
      <c r="U322" s="627"/>
    </row>
    <row r="323">
      <c r="N323" s="627"/>
      <c r="U323" s="627"/>
    </row>
    <row r="324">
      <c r="N324" s="627"/>
      <c r="U324" s="627"/>
    </row>
    <row r="325">
      <c r="N325" s="627"/>
      <c r="U325" s="627"/>
    </row>
    <row r="326">
      <c r="N326" s="627"/>
      <c r="U326" s="627"/>
    </row>
    <row r="327">
      <c r="N327" s="627"/>
      <c r="U327" s="627"/>
    </row>
    <row r="328">
      <c r="N328" s="627"/>
      <c r="U328" s="627"/>
    </row>
    <row r="329">
      <c r="N329" s="627"/>
      <c r="U329" s="627"/>
    </row>
    <row r="330">
      <c r="N330" s="627"/>
      <c r="U330" s="627"/>
    </row>
    <row r="331">
      <c r="N331" s="627"/>
      <c r="U331" s="627"/>
    </row>
    <row r="332">
      <c r="N332" s="627"/>
      <c r="U332" s="627"/>
    </row>
    <row r="333">
      <c r="N333" s="627"/>
      <c r="U333" s="627"/>
    </row>
    <row r="334">
      <c r="N334" s="627"/>
      <c r="U334" s="627"/>
    </row>
    <row r="335">
      <c r="N335" s="627"/>
      <c r="U335" s="627"/>
    </row>
    <row r="336">
      <c r="N336" s="627"/>
      <c r="U336" s="627"/>
    </row>
    <row r="337">
      <c r="N337" s="627"/>
      <c r="U337" s="627"/>
    </row>
    <row r="338">
      <c r="N338" s="627"/>
      <c r="U338" s="627"/>
    </row>
    <row r="339">
      <c r="N339" s="627"/>
      <c r="U339" s="627"/>
    </row>
    <row r="340">
      <c r="N340" s="627"/>
      <c r="U340" s="627"/>
    </row>
    <row r="341">
      <c r="N341" s="627"/>
      <c r="U341" s="627"/>
    </row>
    <row r="342">
      <c r="N342" s="627"/>
      <c r="U342" s="627"/>
    </row>
    <row r="343">
      <c r="N343" s="627"/>
      <c r="U343" s="627"/>
    </row>
    <row r="344">
      <c r="N344" s="627"/>
      <c r="U344" s="627"/>
    </row>
    <row r="345">
      <c r="N345" s="627"/>
      <c r="U345" s="627"/>
    </row>
    <row r="346">
      <c r="N346" s="627"/>
      <c r="U346" s="627"/>
    </row>
    <row r="347">
      <c r="N347" s="627"/>
      <c r="U347" s="627"/>
    </row>
    <row r="348">
      <c r="N348" s="627"/>
      <c r="U348" s="627"/>
    </row>
    <row r="349">
      <c r="N349" s="627"/>
      <c r="U349" s="627"/>
    </row>
    <row r="350">
      <c r="N350" s="627"/>
      <c r="U350" s="627"/>
    </row>
    <row r="351">
      <c r="N351" s="627"/>
      <c r="U351" s="627"/>
    </row>
    <row r="352">
      <c r="N352" s="627"/>
      <c r="U352" s="627"/>
    </row>
    <row r="353">
      <c r="N353" s="627"/>
      <c r="U353" s="627"/>
    </row>
    <row r="354">
      <c r="N354" s="627"/>
      <c r="U354" s="627"/>
    </row>
    <row r="355">
      <c r="N355" s="627"/>
      <c r="U355" s="627"/>
    </row>
    <row r="356">
      <c r="N356" s="627"/>
      <c r="U356" s="627"/>
    </row>
    <row r="357">
      <c r="N357" s="627"/>
      <c r="U357" s="627"/>
    </row>
    <row r="358">
      <c r="N358" s="627"/>
      <c r="U358" s="627"/>
    </row>
    <row r="359">
      <c r="N359" s="627"/>
      <c r="U359" s="627"/>
    </row>
    <row r="360">
      <c r="N360" s="627"/>
      <c r="U360" s="627"/>
    </row>
    <row r="361">
      <c r="N361" s="627"/>
      <c r="U361" s="627"/>
    </row>
    <row r="362">
      <c r="N362" s="627"/>
      <c r="U362" s="627"/>
    </row>
    <row r="363">
      <c r="N363" s="627"/>
      <c r="U363" s="627"/>
    </row>
    <row r="364">
      <c r="N364" s="627"/>
      <c r="U364" s="627"/>
    </row>
    <row r="365">
      <c r="N365" s="627"/>
      <c r="U365" s="627"/>
    </row>
    <row r="366">
      <c r="N366" s="627"/>
      <c r="U366" s="627"/>
    </row>
    <row r="367">
      <c r="N367" s="627"/>
      <c r="U367" s="627"/>
    </row>
    <row r="368">
      <c r="N368" s="627"/>
      <c r="U368" s="627"/>
    </row>
    <row r="369">
      <c r="N369" s="627"/>
      <c r="U369" s="627"/>
    </row>
    <row r="370">
      <c r="N370" s="627"/>
      <c r="U370" s="627"/>
    </row>
    <row r="371">
      <c r="N371" s="627"/>
      <c r="U371" s="627"/>
    </row>
    <row r="372">
      <c r="N372" s="627"/>
      <c r="U372" s="627"/>
    </row>
    <row r="373">
      <c r="N373" s="627"/>
      <c r="U373" s="627"/>
    </row>
    <row r="374">
      <c r="N374" s="627"/>
      <c r="U374" s="627"/>
    </row>
    <row r="375">
      <c r="N375" s="627"/>
      <c r="U375" s="627"/>
    </row>
    <row r="376">
      <c r="N376" s="627"/>
      <c r="U376" s="627"/>
    </row>
    <row r="377">
      <c r="N377" s="627"/>
      <c r="U377" s="627"/>
    </row>
    <row r="378">
      <c r="N378" s="627"/>
      <c r="U378" s="627"/>
    </row>
    <row r="379">
      <c r="N379" s="627"/>
      <c r="U379" s="627"/>
    </row>
    <row r="380">
      <c r="N380" s="627"/>
      <c r="U380" s="627"/>
    </row>
    <row r="381">
      <c r="N381" s="627"/>
      <c r="U381" s="627"/>
    </row>
    <row r="382">
      <c r="N382" s="627"/>
      <c r="U382" s="627"/>
    </row>
    <row r="383">
      <c r="N383" s="627"/>
      <c r="U383" s="627"/>
    </row>
    <row r="384">
      <c r="N384" s="627"/>
      <c r="U384" s="627"/>
    </row>
    <row r="385">
      <c r="N385" s="627"/>
      <c r="U385" s="627"/>
    </row>
    <row r="386">
      <c r="N386" s="627"/>
      <c r="U386" s="627"/>
    </row>
    <row r="387">
      <c r="N387" s="627"/>
      <c r="U387" s="627"/>
    </row>
    <row r="388">
      <c r="N388" s="627"/>
      <c r="U388" s="627"/>
    </row>
    <row r="389">
      <c r="N389" s="627"/>
      <c r="U389" s="627"/>
    </row>
    <row r="390">
      <c r="N390" s="627"/>
      <c r="U390" s="627"/>
    </row>
    <row r="391">
      <c r="N391" s="627"/>
      <c r="U391" s="627"/>
    </row>
    <row r="392">
      <c r="N392" s="627"/>
      <c r="U392" s="627"/>
    </row>
    <row r="393">
      <c r="N393" s="627"/>
      <c r="U393" s="627"/>
    </row>
    <row r="394">
      <c r="N394" s="627"/>
      <c r="U394" s="627"/>
    </row>
    <row r="395">
      <c r="N395" s="627"/>
      <c r="U395" s="627"/>
    </row>
    <row r="396">
      <c r="N396" s="627"/>
      <c r="U396" s="627"/>
    </row>
    <row r="397">
      <c r="N397" s="627"/>
      <c r="U397" s="627"/>
    </row>
    <row r="398">
      <c r="N398" s="627"/>
      <c r="U398" s="627"/>
    </row>
    <row r="399">
      <c r="N399" s="627"/>
      <c r="U399" s="627"/>
    </row>
    <row r="400">
      <c r="N400" s="627"/>
      <c r="U400" s="627"/>
    </row>
    <row r="401">
      <c r="N401" s="627"/>
      <c r="U401" s="627"/>
    </row>
    <row r="402">
      <c r="N402" s="627"/>
      <c r="U402" s="627"/>
    </row>
    <row r="403">
      <c r="N403" s="627"/>
      <c r="U403" s="627"/>
    </row>
    <row r="404">
      <c r="N404" s="627"/>
      <c r="U404" s="627"/>
    </row>
    <row r="405">
      <c r="N405" s="627"/>
      <c r="U405" s="627"/>
    </row>
    <row r="406">
      <c r="N406" s="627"/>
      <c r="U406" s="627"/>
    </row>
    <row r="407">
      <c r="N407" s="627"/>
      <c r="U407" s="627"/>
    </row>
    <row r="408">
      <c r="N408" s="627"/>
      <c r="U408" s="627"/>
    </row>
    <row r="409">
      <c r="N409" s="627"/>
      <c r="U409" s="627"/>
    </row>
    <row r="410">
      <c r="N410" s="627"/>
      <c r="U410" s="627"/>
    </row>
    <row r="411">
      <c r="N411" s="627"/>
      <c r="U411" s="627"/>
    </row>
    <row r="412">
      <c r="N412" s="627"/>
      <c r="U412" s="627"/>
    </row>
    <row r="413">
      <c r="N413" s="627"/>
      <c r="U413" s="627"/>
    </row>
    <row r="414">
      <c r="N414" s="627"/>
      <c r="U414" s="627"/>
    </row>
    <row r="415">
      <c r="N415" s="627"/>
      <c r="U415" s="627"/>
    </row>
    <row r="416">
      <c r="N416" s="627"/>
      <c r="U416" s="627"/>
    </row>
    <row r="417">
      <c r="N417" s="627"/>
      <c r="U417" s="627"/>
    </row>
    <row r="418">
      <c r="N418" s="627"/>
      <c r="U418" s="627"/>
    </row>
    <row r="419">
      <c r="N419" s="627"/>
      <c r="U419" s="627"/>
    </row>
    <row r="420">
      <c r="N420" s="627"/>
      <c r="U420" s="627"/>
    </row>
    <row r="421">
      <c r="N421" s="627"/>
      <c r="U421" s="627"/>
    </row>
    <row r="422">
      <c r="N422" s="627"/>
      <c r="U422" s="627"/>
    </row>
    <row r="423">
      <c r="N423" s="627"/>
      <c r="U423" s="627"/>
    </row>
    <row r="424">
      <c r="N424" s="627"/>
      <c r="U424" s="627"/>
    </row>
    <row r="425">
      <c r="N425" s="627"/>
      <c r="U425" s="627"/>
    </row>
    <row r="426">
      <c r="N426" s="627"/>
      <c r="U426" s="627"/>
    </row>
    <row r="427">
      <c r="N427" s="627"/>
      <c r="U427" s="627"/>
    </row>
    <row r="428">
      <c r="N428" s="627"/>
      <c r="U428" s="627"/>
    </row>
    <row r="429">
      <c r="N429" s="627"/>
      <c r="U429" s="627"/>
    </row>
    <row r="430">
      <c r="N430" s="627"/>
      <c r="U430" s="627"/>
    </row>
    <row r="431">
      <c r="N431" s="627"/>
      <c r="U431" s="627"/>
    </row>
    <row r="432">
      <c r="N432" s="627"/>
      <c r="U432" s="627"/>
    </row>
    <row r="433">
      <c r="N433" s="627"/>
      <c r="U433" s="627"/>
    </row>
    <row r="434">
      <c r="N434" s="627"/>
      <c r="U434" s="627"/>
    </row>
    <row r="435">
      <c r="N435" s="627"/>
      <c r="U435" s="627"/>
    </row>
    <row r="436">
      <c r="N436" s="627"/>
      <c r="U436" s="627"/>
    </row>
    <row r="437">
      <c r="N437" s="627"/>
      <c r="U437" s="627"/>
    </row>
    <row r="438">
      <c r="N438" s="627"/>
      <c r="U438" s="627"/>
    </row>
    <row r="439">
      <c r="N439" s="627"/>
      <c r="U439" s="627"/>
    </row>
    <row r="440">
      <c r="N440" s="627"/>
      <c r="U440" s="627"/>
    </row>
    <row r="441">
      <c r="N441" s="627"/>
      <c r="U441" s="627"/>
    </row>
    <row r="442">
      <c r="N442" s="627"/>
      <c r="U442" s="627"/>
    </row>
    <row r="443">
      <c r="N443" s="627"/>
      <c r="U443" s="627"/>
    </row>
    <row r="444">
      <c r="N444" s="627"/>
      <c r="U444" s="627"/>
    </row>
    <row r="445">
      <c r="N445" s="627"/>
      <c r="U445" s="627"/>
    </row>
    <row r="446">
      <c r="N446" s="627"/>
      <c r="U446" s="627"/>
    </row>
    <row r="447">
      <c r="N447" s="627"/>
      <c r="U447" s="627"/>
    </row>
    <row r="448">
      <c r="N448" s="627"/>
      <c r="U448" s="627"/>
    </row>
    <row r="449">
      <c r="N449" s="627"/>
      <c r="U449" s="627"/>
    </row>
    <row r="450">
      <c r="N450" s="627"/>
      <c r="U450" s="627"/>
    </row>
    <row r="451">
      <c r="N451" s="627"/>
      <c r="U451" s="627"/>
    </row>
    <row r="452">
      <c r="N452" s="627"/>
      <c r="U452" s="627"/>
    </row>
    <row r="453">
      <c r="N453" s="627"/>
      <c r="U453" s="627"/>
    </row>
    <row r="454">
      <c r="N454" s="627"/>
      <c r="U454" s="627"/>
    </row>
    <row r="455">
      <c r="N455" s="627"/>
      <c r="U455" s="627"/>
    </row>
    <row r="456">
      <c r="N456" s="627"/>
      <c r="U456" s="627"/>
    </row>
    <row r="457">
      <c r="N457" s="627"/>
      <c r="U457" s="627"/>
    </row>
    <row r="458">
      <c r="N458" s="627"/>
      <c r="U458" s="627"/>
    </row>
    <row r="459">
      <c r="N459" s="627"/>
      <c r="U459" s="627"/>
    </row>
    <row r="460">
      <c r="N460" s="627"/>
      <c r="U460" s="627"/>
    </row>
    <row r="461">
      <c r="N461" s="627"/>
      <c r="U461" s="627"/>
    </row>
    <row r="462">
      <c r="N462" s="627"/>
      <c r="U462" s="627"/>
    </row>
    <row r="463">
      <c r="N463" s="627"/>
      <c r="U463" s="627"/>
    </row>
    <row r="464">
      <c r="N464" s="627"/>
      <c r="U464" s="627"/>
    </row>
    <row r="465">
      <c r="N465" s="627"/>
      <c r="U465" s="627"/>
    </row>
    <row r="466">
      <c r="N466" s="627"/>
      <c r="U466" s="627"/>
    </row>
    <row r="467">
      <c r="N467" s="627"/>
      <c r="U467" s="627"/>
    </row>
    <row r="468">
      <c r="N468" s="627"/>
      <c r="U468" s="627"/>
    </row>
    <row r="469">
      <c r="N469" s="627"/>
      <c r="U469" s="627"/>
    </row>
    <row r="470">
      <c r="N470" s="627"/>
      <c r="U470" s="627"/>
    </row>
    <row r="471">
      <c r="N471" s="627"/>
      <c r="U471" s="627"/>
    </row>
    <row r="472">
      <c r="N472" s="627"/>
      <c r="U472" s="627"/>
    </row>
    <row r="473">
      <c r="N473" s="627"/>
      <c r="U473" s="627"/>
    </row>
    <row r="474">
      <c r="N474" s="627"/>
      <c r="U474" s="627"/>
    </row>
    <row r="475">
      <c r="N475" s="627"/>
      <c r="U475" s="627"/>
    </row>
    <row r="476">
      <c r="N476" s="627"/>
      <c r="U476" s="627"/>
    </row>
    <row r="477">
      <c r="N477" s="627"/>
      <c r="U477" s="627"/>
    </row>
    <row r="478">
      <c r="N478" s="627"/>
      <c r="U478" s="627"/>
    </row>
    <row r="479">
      <c r="N479" s="627"/>
      <c r="U479" s="627"/>
    </row>
    <row r="480">
      <c r="N480" s="627"/>
      <c r="U480" s="627"/>
    </row>
    <row r="481">
      <c r="N481" s="627"/>
      <c r="U481" s="627"/>
    </row>
    <row r="482">
      <c r="N482" s="627"/>
      <c r="U482" s="627"/>
    </row>
    <row r="483">
      <c r="N483" s="627"/>
      <c r="U483" s="627"/>
    </row>
    <row r="484">
      <c r="N484" s="627"/>
      <c r="U484" s="627"/>
    </row>
    <row r="485">
      <c r="N485" s="627"/>
      <c r="U485" s="627"/>
    </row>
    <row r="486">
      <c r="N486" s="627"/>
      <c r="U486" s="627"/>
    </row>
    <row r="487">
      <c r="N487" s="627"/>
      <c r="U487" s="627"/>
    </row>
    <row r="488">
      <c r="N488" s="627"/>
      <c r="U488" s="627"/>
    </row>
    <row r="489">
      <c r="N489" s="627"/>
      <c r="U489" s="627"/>
    </row>
    <row r="490">
      <c r="N490" s="627"/>
      <c r="U490" s="627"/>
    </row>
    <row r="491">
      <c r="N491" s="627"/>
      <c r="U491" s="627"/>
    </row>
    <row r="492">
      <c r="N492" s="627"/>
      <c r="U492" s="627"/>
    </row>
    <row r="493">
      <c r="N493" s="627"/>
      <c r="U493" s="627"/>
    </row>
    <row r="494">
      <c r="N494" s="627"/>
      <c r="U494" s="627"/>
    </row>
    <row r="495">
      <c r="N495" s="627"/>
      <c r="U495" s="627"/>
    </row>
    <row r="496">
      <c r="N496" s="627"/>
      <c r="U496" s="627"/>
    </row>
    <row r="497">
      <c r="N497" s="627"/>
      <c r="U497" s="627"/>
    </row>
    <row r="498">
      <c r="N498" s="627"/>
      <c r="U498" s="627"/>
    </row>
    <row r="499">
      <c r="N499" s="627"/>
      <c r="U499" s="627"/>
    </row>
    <row r="500">
      <c r="N500" s="627"/>
      <c r="U500" s="627"/>
    </row>
    <row r="501">
      <c r="N501" s="627"/>
      <c r="U501" s="627"/>
    </row>
    <row r="502">
      <c r="N502" s="627"/>
      <c r="U502" s="627"/>
    </row>
    <row r="503">
      <c r="N503" s="627"/>
      <c r="U503" s="627"/>
    </row>
    <row r="504">
      <c r="N504" s="627"/>
      <c r="U504" s="627"/>
    </row>
    <row r="505">
      <c r="N505" s="627"/>
      <c r="U505" s="627"/>
    </row>
    <row r="506">
      <c r="N506" s="627"/>
      <c r="U506" s="627"/>
    </row>
    <row r="507">
      <c r="N507" s="627"/>
      <c r="U507" s="627"/>
    </row>
    <row r="508">
      <c r="N508" s="627"/>
      <c r="U508" s="627"/>
    </row>
    <row r="509">
      <c r="N509" s="627"/>
      <c r="U509" s="627"/>
    </row>
    <row r="510">
      <c r="N510" s="627"/>
      <c r="U510" s="627"/>
    </row>
    <row r="511">
      <c r="N511" s="627"/>
      <c r="U511" s="627"/>
    </row>
    <row r="512">
      <c r="N512" s="627"/>
      <c r="U512" s="627"/>
    </row>
    <row r="513">
      <c r="N513" s="627"/>
      <c r="U513" s="627"/>
    </row>
    <row r="514">
      <c r="N514" s="627"/>
      <c r="U514" s="627"/>
    </row>
    <row r="515">
      <c r="N515" s="627"/>
      <c r="U515" s="627"/>
    </row>
    <row r="516">
      <c r="N516" s="627"/>
      <c r="U516" s="627"/>
    </row>
    <row r="517">
      <c r="N517" s="627"/>
      <c r="U517" s="627"/>
    </row>
    <row r="518">
      <c r="N518" s="627"/>
      <c r="U518" s="627"/>
    </row>
    <row r="519">
      <c r="N519" s="627"/>
      <c r="U519" s="627"/>
    </row>
    <row r="520">
      <c r="N520" s="627"/>
      <c r="U520" s="627"/>
    </row>
    <row r="521">
      <c r="N521" s="627"/>
      <c r="U521" s="627"/>
    </row>
    <row r="522">
      <c r="N522" s="627"/>
      <c r="U522" s="627"/>
    </row>
    <row r="523">
      <c r="N523" s="627"/>
      <c r="U523" s="627"/>
    </row>
    <row r="524">
      <c r="N524" s="627"/>
      <c r="U524" s="627"/>
    </row>
    <row r="525">
      <c r="N525" s="627"/>
      <c r="U525" s="627"/>
    </row>
    <row r="526">
      <c r="N526" s="627"/>
      <c r="U526" s="627"/>
    </row>
    <row r="527">
      <c r="N527" s="627"/>
      <c r="U527" s="627"/>
    </row>
    <row r="528">
      <c r="N528" s="627"/>
      <c r="U528" s="627"/>
    </row>
    <row r="529">
      <c r="N529" s="627"/>
      <c r="U529" s="627"/>
    </row>
    <row r="530">
      <c r="N530" s="627"/>
      <c r="U530" s="627"/>
    </row>
    <row r="531">
      <c r="N531" s="627"/>
      <c r="U531" s="627"/>
    </row>
    <row r="532">
      <c r="N532" s="627"/>
      <c r="U532" s="627"/>
    </row>
    <row r="533">
      <c r="N533" s="627"/>
      <c r="U533" s="627"/>
    </row>
    <row r="534">
      <c r="N534" s="627"/>
      <c r="U534" s="627"/>
    </row>
    <row r="535">
      <c r="N535" s="627"/>
      <c r="U535" s="627"/>
    </row>
    <row r="536">
      <c r="N536" s="627"/>
      <c r="U536" s="627"/>
    </row>
    <row r="537">
      <c r="N537" s="627"/>
      <c r="U537" s="627"/>
    </row>
    <row r="538">
      <c r="N538" s="627"/>
      <c r="U538" s="627"/>
    </row>
    <row r="539">
      <c r="N539" s="627"/>
      <c r="U539" s="627"/>
    </row>
    <row r="540">
      <c r="N540" s="627"/>
      <c r="U540" s="627"/>
    </row>
    <row r="541">
      <c r="N541" s="627"/>
      <c r="U541" s="627"/>
    </row>
    <row r="542">
      <c r="N542" s="627"/>
      <c r="U542" s="627"/>
    </row>
    <row r="543">
      <c r="N543" s="627"/>
      <c r="U543" s="627"/>
    </row>
    <row r="544">
      <c r="N544" s="627"/>
      <c r="U544" s="627"/>
    </row>
    <row r="545">
      <c r="N545" s="627"/>
      <c r="U545" s="627"/>
    </row>
    <row r="546">
      <c r="N546" s="627"/>
      <c r="U546" s="627"/>
    </row>
    <row r="547">
      <c r="N547" s="627"/>
      <c r="U547" s="627"/>
    </row>
    <row r="548">
      <c r="N548" s="627"/>
      <c r="U548" s="627"/>
    </row>
    <row r="549">
      <c r="N549" s="627"/>
      <c r="U549" s="627"/>
    </row>
    <row r="550">
      <c r="N550" s="627"/>
      <c r="U550" s="627"/>
    </row>
    <row r="551">
      <c r="N551" s="627"/>
      <c r="U551" s="627"/>
    </row>
    <row r="552">
      <c r="N552" s="627"/>
      <c r="U552" s="627"/>
    </row>
    <row r="553">
      <c r="N553" s="627"/>
      <c r="U553" s="627"/>
    </row>
    <row r="554">
      <c r="N554" s="627"/>
      <c r="U554" s="627"/>
    </row>
    <row r="555">
      <c r="N555" s="627"/>
      <c r="U555" s="627"/>
    </row>
    <row r="556">
      <c r="N556" s="627"/>
      <c r="U556" s="627"/>
    </row>
    <row r="557">
      <c r="N557" s="627"/>
      <c r="U557" s="627"/>
    </row>
    <row r="558">
      <c r="N558" s="627"/>
      <c r="U558" s="627"/>
    </row>
    <row r="559">
      <c r="N559" s="627"/>
      <c r="U559" s="627"/>
    </row>
    <row r="560">
      <c r="N560" s="627"/>
      <c r="U560" s="627"/>
    </row>
    <row r="561">
      <c r="N561" s="627"/>
      <c r="U561" s="627"/>
    </row>
    <row r="562">
      <c r="N562" s="627"/>
      <c r="U562" s="627"/>
    </row>
    <row r="563">
      <c r="N563" s="627"/>
      <c r="U563" s="627"/>
    </row>
    <row r="564">
      <c r="N564" s="627"/>
      <c r="U564" s="627"/>
    </row>
    <row r="565">
      <c r="N565" s="627"/>
      <c r="U565" s="627"/>
    </row>
    <row r="566">
      <c r="N566" s="627"/>
      <c r="U566" s="627"/>
    </row>
    <row r="567">
      <c r="N567" s="627"/>
      <c r="U567" s="627"/>
    </row>
    <row r="568">
      <c r="N568" s="627"/>
      <c r="U568" s="627"/>
    </row>
    <row r="569">
      <c r="N569" s="627"/>
      <c r="U569" s="627"/>
    </row>
    <row r="570">
      <c r="N570" s="627"/>
      <c r="U570" s="627"/>
    </row>
    <row r="571">
      <c r="N571" s="627"/>
      <c r="U571" s="627"/>
    </row>
    <row r="572">
      <c r="N572" s="627"/>
      <c r="U572" s="627"/>
    </row>
    <row r="573">
      <c r="N573" s="627"/>
      <c r="U573" s="627"/>
    </row>
    <row r="574">
      <c r="N574" s="627"/>
      <c r="U574" s="627"/>
    </row>
    <row r="575">
      <c r="N575" s="627"/>
      <c r="U575" s="627"/>
    </row>
    <row r="576">
      <c r="N576" s="627"/>
      <c r="U576" s="627"/>
    </row>
    <row r="577">
      <c r="N577" s="627"/>
      <c r="U577" s="627"/>
    </row>
    <row r="578">
      <c r="N578" s="627"/>
      <c r="U578" s="627"/>
    </row>
    <row r="579">
      <c r="N579" s="627"/>
      <c r="U579" s="627"/>
    </row>
    <row r="580">
      <c r="N580" s="627"/>
      <c r="U580" s="627"/>
    </row>
    <row r="581">
      <c r="N581" s="627"/>
      <c r="U581" s="627"/>
    </row>
    <row r="582">
      <c r="N582" s="627"/>
      <c r="U582" s="627"/>
    </row>
    <row r="583">
      <c r="N583" s="627"/>
      <c r="U583" s="627"/>
    </row>
    <row r="584">
      <c r="N584" s="627"/>
      <c r="U584" s="627"/>
    </row>
    <row r="585">
      <c r="N585" s="627"/>
      <c r="U585" s="627"/>
    </row>
    <row r="586">
      <c r="N586" s="627"/>
      <c r="U586" s="627"/>
    </row>
    <row r="587">
      <c r="N587" s="627"/>
      <c r="U587" s="627"/>
    </row>
    <row r="588">
      <c r="N588" s="627"/>
      <c r="U588" s="627"/>
    </row>
    <row r="589">
      <c r="N589" s="627"/>
      <c r="U589" s="627"/>
    </row>
    <row r="590">
      <c r="N590" s="627"/>
      <c r="U590" s="627"/>
    </row>
    <row r="591">
      <c r="N591" s="627"/>
      <c r="U591" s="627"/>
    </row>
    <row r="592">
      <c r="N592" s="627"/>
      <c r="U592" s="627"/>
    </row>
    <row r="593">
      <c r="N593" s="627"/>
      <c r="U593" s="627"/>
    </row>
    <row r="594">
      <c r="N594" s="627"/>
      <c r="U594" s="627"/>
    </row>
    <row r="595">
      <c r="N595" s="627"/>
      <c r="U595" s="627"/>
    </row>
    <row r="596">
      <c r="N596" s="627"/>
      <c r="U596" s="627"/>
    </row>
    <row r="597">
      <c r="N597" s="627"/>
      <c r="U597" s="627"/>
    </row>
    <row r="598">
      <c r="N598" s="627"/>
      <c r="U598" s="627"/>
    </row>
    <row r="599">
      <c r="N599" s="627"/>
      <c r="U599" s="627"/>
    </row>
    <row r="600">
      <c r="N600" s="627"/>
      <c r="U600" s="627"/>
    </row>
    <row r="601">
      <c r="N601" s="627"/>
      <c r="U601" s="627"/>
    </row>
    <row r="602">
      <c r="N602" s="627"/>
      <c r="U602" s="627"/>
    </row>
    <row r="603">
      <c r="N603" s="627"/>
      <c r="U603" s="627"/>
    </row>
    <row r="604">
      <c r="N604" s="627"/>
      <c r="U604" s="627"/>
    </row>
    <row r="605">
      <c r="N605" s="627"/>
      <c r="U605" s="627"/>
    </row>
    <row r="606">
      <c r="N606" s="627"/>
      <c r="U606" s="627"/>
    </row>
    <row r="607">
      <c r="N607" s="627"/>
      <c r="U607" s="627"/>
    </row>
    <row r="608">
      <c r="N608" s="627"/>
      <c r="U608" s="627"/>
    </row>
    <row r="609">
      <c r="N609" s="627"/>
      <c r="U609" s="627"/>
    </row>
    <row r="610">
      <c r="N610" s="627"/>
      <c r="U610" s="627"/>
    </row>
    <row r="611">
      <c r="N611" s="627"/>
      <c r="U611" s="627"/>
    </row>
    <row r="612">
      <c r="N612" s="627"/>
      <c r="U612" s="627"/>
    </row>
    <row r="613">
      <c r="N613" s="627"/>
      <c r="U613" s="627"/>
    </row>
    <row r="614">
      <c r="N614" s="627"/>
      <c r="U614" s="627"/>
    </row>
    <row r="615">
      <c r="N615" s="627"/>
      <c r="U615" s="627"/>
    </row>
    <row r="616">
      <c r="N616" s="627"/>
      <c r="U616" s="627"/>
    </row>
    <row r="617">
      <c r="N617" s="627"/>
      <c r="U617" s="627"/>
    </row>
    <row r="618">
      <c r="N618" s="627"/>
      <c r="U618" s="627"/>
    </row>
    <row r="619">
      <c r="N619" s="627"/>
      <c r="U619" s="627"/>
    </row>
    <row r="620">
      <c r="N620" s="627"/>
      <c r="U620" s="627"/>
    </row>
    <row r="621">
      <c r="N621" s="627"/>
      <c r="U621" s="627"/>
    </row>
    <row r="622">
      <c r="N622" s="627"/>
      <c r="U622" s="627"/>
    </row>
    <row r="623">
      <c r="N623" s="627"/>
      <c r="U623" s="627"/>
    </row>
    <row r="624">
      <c r="N624" s="627"/>
      <c r="U624" s="627"/>
    </row>
    <row r="625">
      <c r="N625" s="627"/>
      <c r="U625" s="627"/>
    </row>
    <row r="626">
      <c r="N626" s="627"/>
      <c r="U626" s="627"/>
    </row>
    <row r="627">
      <c r="N627" s="627"/>
      <c r="U627" s="627"/>
    </row>
    <row r="628">
      <c r="N628" s="627"/>
      <c r="U628" s="627"/>
    </row>
    <row r="629">
      <c r="N629" s="627"/>
      <c r="U629" s="627"/>
    </row>
    <row r="630">
      <c r="N630" s="627"/>
      <c r="U630" s="627"/>
    </row>
    <row r="631">
      <c r="N631" s="627"/>
      <c r="U631" s="627"/>
    </row>
    <row r="632">
      <c r="N632" s="627"/>
      <c r="U632" s="627"/>
    </row>
    <row r="633">
      <c r="N633" s="627"/>
      <c r="U633" s="627"/>
    </row>
    <row r="634">
      <c r="N634" s="627"/>
      <c r="U634" s="627"/>
    </row>
    <row r="635">
      <c r="N635" s="627"/>
      <c r="U635" s="627"/>
    </row>
    <row r="636">
      <c r="N636" s="627"/>
      <c r="U636" s="627"/>
    </row>
    <row r="637">
      <c r="N637" s="627"/>
      <c r="U637" s="627"/>
    </row>
    <row r="638">
      <c r="N638" s="627"/>
      <c r="U638" s="627"/>
    </row>
    <row r="639">
      <c r="N639" s="627"/>
      <c r="U639" s="627"/>
    </row>
    <row r="640">
      <c r="N640" s="627"/>
      <c r="U640" s="627"/>
    </row>
    <row r="641">
      <c r="N641" s="627"/>
      <c r="U641" s="627"/>
    </row>
    <row r="642">
      <c r="N642" s="627"/>
      <c r="U642" s="627"/>
    </row>
    <row r="643">
      <c r="N643" s="627"/>
      <c r="U643" s="627"/>
    </row>
    <row r="644">
      <c r="N644" s="627"/>
      <c r="U644" s="627"/>
    </row>
    <row r="645">
      <c r="N645" s="627"/>
      <c r="U645" s="627"/>
    </row>
    <row r="646">
      <c r="N646" s="627"/>
      <c r="U646" s="627"/>
    </row>
    <row r="647">
      <c r="N647" s="627"/>
      <c r="U647" s="627"/>
    </row>
    <row r="648">
      <c r="N648" s="627"/>
      <c r="U648" s="627"/>
    </row>
    <row r="649">
      <c r="N649" s="627"/>
      <c r="U649" s="627"/>
    </row>
    <row r="650">
      <c r="N650" s="627"/>
      <c r="U650" s="627"/>
    </row>
    <row r="651">
      <c r="N651" s="627"/>
      <c r="U651" s="627"/>
    </row>
    <row r="652">
      <c r="N652" s="627"/>
      <c r="U652" s="627"/>
    </row>
    <row r="653">
      <c r="N653" s="627"/>
      <c r="U653" s="627"/>
    </row>
    <row r="654">
      <c r="N654" s="627"/>
      <c r="U654" s="627"/>
    </row>
    <row r="655">
      <c r="N655" s="627"/>
      <c r="U655" s="627"/>
    </row>
    <row r="656">
      <c r="N656" s="627"/>
      <c r="U656" s="627"/>
    </row>
    <row r="657">
      <c r="N657" s="627"/>
      <c r="U657" s="627"/>
    </row>
    <row r="658">
      <c r="N658" s="627"/>
      <c r="U658" s="627"/>
    </row>
    <row r="659">
      <c r="N659" s="627"/>
      <c r="U659" s="627"/>
    </row>
    <row r="660">
      <c r="N660" s="627"/>
      <c r="U660" s="627"/>
    </row>
    <row r="661">
      <c r="N661" s="627"/>
      <c r="U661" s="627"/>
    </row>
    <row r="662">
      <c r="N662" s="627"/>
      <c r="U662" s="627"/>
    </row>
    <row r="663">
      <c r="N663" s="627"/>
      <c r="U663" s="627"/>
    </row>
    <row r="664">
      <c r="N664" s="627"/>
      <c r="U664" s="627"/>
    </row>
    <row r="665">
      <c r="N665" s="627"/>
      <c r="U665" s="627"/>
    </row>
    <row r="666">
      <c r="N666" s="627"/>
      <c r="U666" s="627"/>
    </row>
    <row r="667">
      <c r="N667" s="627"/>
      <c r="U667" s="627"/>
    </row>
    <row r="668">
      <c r="N668" s="627"/>
      <c r="U668" s="627"/>
    </row>
    <row r="669">
      <c r="N669" s="627"/>
      <c r="U669" s="627"/>
    </row>
    <row r="670">
      <c r="N670" s="627"/>
      <c r="U670" s="627"/>
    </row>
    <row r="671">
      <c r="N671" s="627"/>
      <c r="U671" s="627"/>
    </row>
    <row r="672">
      <c r="N672" s="627"/>
      <c r="U672" s="627"/>
    </row>
    <row r="673">
      <c r="N673" s="627"/>
      <c r="U673" s="627"/>
    </row>
    <row r="674">
      <c r="N674" s="627"/>
      <c r="U674" s="627"/>
    </row>
    <row r="675">
      <c r="N675" s="627"/>
      <c r="U675" s="627"/>
    </row>
    <row r="676">
      <c r="N676" s="627"/>
      <c r="U676" s="627"/>
    </row>
    <row r="677">
      <c r="N677" s="627"/>
      <c r="U677" s="627"/>
    </row>
    <row r="678">
      <c r="N678" s="627"/>
      <c r="U678" s="627"/>
    </row>
    <row r="679">
      <c r="N679" s="627"/>
      <c r="U679" s="627"/>
    </row>
    <row r="680">
      <c r="N680" s="627"/>
      <c r="U680" s="627"/>
    </row>
    <row r="681">
      <c r="N681" s="627"/>
      <c r="U681" s="627"/>
    </row>
    <row r="682">
      <c r="N682" s="627"/>
      <c r="U682" s="627"/>
    </row>
    <row r="683">
      <c r="N683" s="627"/>
      <c r="U683" s="627"/>
    </row>
    <row r="684">
      <c r="N684" s="627"/>
      <c r="U684" s="627"/>
    </row>
    <row r="685">
      <c r="N685" s="627"/>
      <c r="U685" s="627"/>
    </row>
    <row r="686">
      <c r="N686" s="627"/>
      <c r="U686" s="627"/>
    </row>
    <row r="687">
      <c r="N687" s="627"/>
      <c r="U687" s="627"/>
    </row>
    <row r="688">
      <c r="N688" s="627"/>
      <c r="U688" s="627"/>
    </row>
    <row r="689">
      <c r="N689" s="627"/>
      <c r="U689" s="627"/>
    </row>
    <row r="690">
      <c r="N690" s="627"/>
      <c r="U690" s="627"/>
    </row>
    <row r="691">
      <c r="N691" s="627"/>
      <c r="U691" s="627"/>
    </row>
    <row r="692">
      <c r="N692" s="627"/>
      <c r="U692" s="627"/>
    </row>
    <row r="693">
      <c r="N693" s="627"/>
      <c r="U693" s="627"/>
    </row>
    <row r="694">
      <c r="N694" s="627"/>
      <c r="U694" s="627"/>
    </row>
    <row r="695">
      <c r="N695" s="627"/>
      <c r="U695" s="627"/>
    </row>
    <row r="696">
      <c r="N696" s="627"/>
      <c r="U696" s="627"/>
    </row>
    <row r="697">
      <c r="N697" s="627"/>
      <c r="U697" s="627"/>
    </row>
    <row r="698">
      <c r="N698" s="627"/>
      <c r="U698" s="627"/>
    </row>
    <row r="699">
      <c r="N699" s="627"/>
      <c r="U699" s="627"/>
    </row>
    <row r="700">
      <c r="N700" s="627"/>
      <c r="U700" s="627"/>
    </row>
    <row r="701">
      <c r="N701" s="627"/>
      <c r="U701" s="627"/>
    </row>
    <row r="702">
      <c r="N702" s="627"/>
      <c r="U702" s="627"/>
    </row>
    <row r="703">
      <c r="N703" s="627"/>
      <c r="U703" s="627"/>
    </row>
    <row r="704">
      <c r="N704" s="627"/>
      <c r="U704" s="627"/>
    </row>
    <row r="705">
      <c r="N705" s="627"/>
      <c r="U705" s="627"/>
    </row>
    <row r="706">
      <c r="N706" s="627"/>
      <c r="U706" s="627"/>
    </row>
    <row r="707">
      <c r="N707" s="627"/>
      <c r="U707" s="627"/>
    </row>
    <row r="708">
      <c r="N708" s="627"/>
      <c r="U708" s="627"/>
    </row>
    <row r="709">
      <c r="N709" s="627"/>
      <c r="U709" s="627"/>
    </row>
    <row r="710">
      <c r="N710" s="627"/>
      <c r="U710" s="627"/>
    </row>
    <row r="711">
      <c r="N711" s="627"/>
      <c r="U711" s="627"/>
    </row>
    <row r="712">
      <c r="N712" s="627"/>
      <c r="U712" s="627"/>
    </row>
    <row r="713">
      <c r="N713" s="627"/>
      <c r="U713" s="627"/>
    </row>
    <row r="714">
      <c r="N714" s="627"/>
      <c r="U714" s="627"/>
    </row>
    <row r="715">
      <c r="N715" s="627"/>
      <c r="U715" s="627"/>
    </row>
    <row r="716">
      <c r="N716" s="627"/>
      <c r="U716" s="627"/>
    </row>
    <row r="717">
      <c r="N717" s="627"/>
      <c r="U717" s="627"/>
    </row>
    <row r="718">
      <c r="N718" s="627"/>
      <c r="U718" s="627"/>
    </row>
    <row r="719">
      <c r="N719" s="627"/>
      <c r="U719" s="627"/>
    </row>
    <row r="720">
      <c r="N720" s="627"/>
      <c r="U720" s="627"/>
    </row>
    <row r="721">
      <c r="N721" s="627"/>
      <c r="U721" s="627"/>
    </row>
    <row r="722">
      <c r="N722" s="627"/>
      <c r="U722" s="627"/>
    </row>
    <row r="723">
      <c r="N723" s="627"/>
      <c r="U723" s="627"/>
    </row>
    <row r="724">
      <c r="N724" s="627"/>
      <c r="U724" s="627"/>
    </row>
    <row r="725">
      <c r="N725" s="627"/>
      <c r="U725" s="627"/>
    </row>
    <row r="726">
      <c r="N726" s="627"/>
      <c r="U726" s="627"/>
    </row>
    <row r="727">
      <c r="N727" s="627"/>
      <c r="U727" s="627"/>
    </row>
    <row r="728">
      <c r="N728" s="627"/>
      <c r="U728" s="627"/>
    </row>
    <row r="729">
      <c r="N729" s="627"/>
      <c r="U729" s="627"/>
    </row>
    <row r="730">
      <c r="N730" s="627"/>
      <c r="U730" s="627"/>
    </row>
    <row r="731">
      <c r="N731" s="627"/>
      <c r="U731" s="627"/>
    </row>
    <row r="732">
      <c r="N732" s="627"/>
      <c r="U732" s="627"/>
    </row>
    <row r="733">
      <c r="N733" s="627"/>
      <c r="U733" s="627"/>
    </row>
    <row r="734">
      <c r="N734" s="627"/>
      <c r="U734" s="627"/>
    </row>
    <row r="735">
      <c r="N735" s="627"/>
      <c r="U735" s="627"/>
    </row>
    <row r="736">
      <c r="N736" s="627"/>
      <c r="U736" s="627"/>
    </row>
    <row r="737">
      <c r="N737" s="627"/>
      <c r="U737" s="627"/>
    </row>
    <row r="738">
      <c r="N738" s="627"/>
      <c r="U738" s="627"/>
    </row>
    <row r="739">
      <c r="N739" s="627"/>
      <c r="U739" s="627"/>
    </row>
    <row r="740">
      <c r="N740" s="627"/>
      <c r="U740" s="627"/>
    </row>
    <row r="741">
      <c r="N741" s="627"/>
      <c r="U741" s="627"/>
    </row>
    <row r="742">
      <c r="N742" s="627"/>
      <c r="U742" s="627"/>
    </row>
    <row r="743">
      <c r="N743" s="627"/>
      <c r="U743" s="627"/>
    </row>
    <row r="744">
      <c r="N744" s="627"/>
      <c r="U744" s="627"/>
    </row>
    <row r="745">
      <c r="N745" s="627"/>
      <c r="U745" s="627"/>
    </row>
    <row r="746">
      <c r="N746" s="627"/>
      <c r="U746" s="627"/>
    </row>
    <row r="747">
      <c r="N747" s="627"/>
      <c r="U747" s="627"/>
    </row>
    <row r="748">
      <c r="N748" s="627"/>
      <c r="U748" s="627"/>
    </row>
    <row r="749">
      <c r="N749" s="627"/>
      <c r="U749" s="627"/>
    </row>
    <row r="750">
      <c r="N750" s="627"/>
      <c r="U750" s="627"/>
    </row>
    <row r="751">
      <c r="N751" s="627"/>
      <c r="U751" s="627"/>
    </row>
    <row r="752">
      <c r="N752" s="627"/>
      <c r="U752" s="627"/>
    </row>
    <row r="753">
      <c r="N753" s="627"/>
      <c r="U753" s="627"/>
    </row>
    <row r="754">
      <c r="N754" s="627"/>
      <c r="U754" s="627"/>
    </row>
    <row r="755">
      <c r="N755" s="627"/>
      <c r="U755" s="627"/>
    </row>
    <row r="756">
      <c r="N756" s="627"/>
      <c r="U756" s="627"/>
    </row>
    <row r="757">
      <c r="N757" s="627"/>
      <c r="U757" s="627"/>
    </row>
    <row r="758">
      <c r="N758" s="627"/>
      <c r="U758" s="627"/>
    </row>
    <row r="759">
      <c r="N759" s="627"/>
      <c r="U759" s="627"/>
    </row>
    <row r="760">
      <c r="N760" s="627"/>
      <c r="U760" s="627"/>
    </row>
    <row r="761">
      <c r="N761" s="627"/>
      <c r="U761" s="627"/>
    </row>
    <row r="762">
      <c r="N762" s="627"/>
      <c r="U762" s="627"/>
    </row>
    <row r="763">
      <c r="N763" s="627"/>
      <c r="U763" s="627"/>
    </row>
    <row r="764">
      <c r="N764" s="627"/>
      <c r="U764" s="627"/>
    </row>
    <row r="765">
      <c r="N765" s="627"/>
      <c r="U765" s="627"/>
    </row>
    <row r="766">
      <c r="N766" s="627"/>
      <c r="U766" s="627"/>
    </row>
    <row r="767">
      <c r="N767" s="627"/>
      <c r="U767" s="627"/>
    </row>
    <row r="768">
      <c r="N768" s="627"/>
      <c r="U768" s="627"/>
    </row>
    <row r="769">
      <c r="N769" s="627"/>
      <c r="U769" s="627"/>
    </row>
    <row r="770">
      <c r="N770" s="627"/>
      <c r="U770" s="627"/>
    </row>
    <row r="771">
      <c r="N771" s="627"/>
      <c r="U771" s="627"/>
    </row>
    <row r="772">
      <c r="N772" s="627"/>
      <c r="U772" s="627"/>
    </row>
    <row r="773">
      <c r="N773" s="627"/>
      <c r="U773" s="627"/>
    </row>
    <row r="774">
      <c r="N774" s="627"/>
      <c r="U774" s="627"/>
    </row>
    <row r="775">
      <c r="N775" s="627"/>
      <c r="U775" s="627"/>
    </row>
    <row r="776">
      <c r="N776" s="627"/>
      <c r="U776" s="627"/>
    </row>
    <row r="777">
      <c r="N777" s="627"/>
      <c r="U777" s="627"/>
    </row>
    <row r="778">
      <c r="N778" s="627"/>
      <c r="U778" s="627"/>
    </row>
    <row r="779">
      <c r="N779" s="627"/>
      <c r="U779" s="627"/>
    </row>
    <row r="780">
      <c r="N780" s="627"/>
      <c r="U780" s="627"/>
    </row>
    <row r="781">
      <c r="N781" s="627"/>
      <c r="U781" s="627"/>
    </row>
    <row r="782">
      <c r="N782" s="627"/>
      <c r="U782" s="627"/>
    </row>
    <row r="783">
      <c r="N783" s="627"/>
      <c r="U783" s="627"/>
    </row>
    <row r="784">
      <c r="N784" s="627"/>
      <c r="U784" s="627"/>
    </row>
    <row r="785">
      <c r="N785" s="627"/>
      <c r="U785" s="627"/>
    </row>
    <row r="786">
      <c r="N786" s="627"/>
      <c r="U786" s="627"/>
    </row>
    <row r="787">
      <c r="N787" s="627"/>
      <c r="U787" s="627"/>
    </row>
    <row r="788">
      <c r="N788" s="627"/>
      <c r="U788" s="627"/>
    </row>
    <row r="789">
      <c r="N789" s="627"/>
      <c r="U789" s="627"/>
    </row>
    <row r="790">
      <c r="N790" s="627"/>
      <c r="U790" s="627"/>
    </row>
    <row r="791">
      <c r="N791" s="627"/>
      <c r="U791" s="627"/>
    </row>
    <row r="792">
      <c r="N792" s="627"/>
      <c r="U792" s="627"/>
    </row>
    <row r="793">
      <c r="N793" s="627"/>
      <c r="U793" s="627"/>
    </row>
    <row r="794">
      <c r="N794" s="627"/>
      <c r="U794" s="627"/>
    </row>
    <row r="795">
      <c r="N795" s="627"/>
      <c r="U795" s="627"/>
    </row>
    <row r="796">
      <c r="N796" s="627"/>
      <c r="U796" s="627"/>
    </row>
    <row r="797">
      <c r="N797" s="627"/>
      <c r="U797" s="627"/>
    </row>
    <row r="798">
      <c r="N798" s="627"/>
      <c r="U798" s="627"/>
    </row>
    <row r="799">
      <c r="N799" s="627"/>
      <c r="U799" s="627"/>
    </row>
    <row r="800">
      <c r="N800" s="627"/>
      <c r="U800" s="627"/>
    </row>
    <row r="801">
      <c r="N801" s="627"/>
      <c r="U801" s="627"/>
    </row>
    <row r="802">
      <c r="N802" s="627"/>
      <c r="U802" s="627"/>
    </row>
    <row r="803">
      <c r="N803" s="627"/>
      <c r="U803" s="627"/>
    </row>
    <row r="804">
      <c r="N804" s="627"/>
      <c r="U804" s="627"/>
    </row>
    <row r="805">
      <c r="N805" s="627"/>
      <c r="U805" s="627"/>
    </row>
    <row r="806">
      <c r="N806" s="627"/>
      <c r="U806" s="627"/>
    </row>
    <row r="807">
      <c r="N807" s="627"/>
      <c r="U807" s="627"/>
    </row>
    <row r="808">
      <c r="N808" s="627"/>
      <c r="U808" s="627"/>
    </row>
    <row r="809">
      <c r="N809" s="627"/>
      <c r="U809" s="627"/>
    </row>
    <row r="810">
      <c r="N810" s="627"/>
      <c r="U810" s="627"/>
    </row>
    <row r="811">
      <c r="N811" s="627"/>
      <c r="U811" s="627"/>
    </row>
    <row r="812">
      <c r="N812" s="627"/>
      <c r="U812" s="627"/>
    </row>
    <row r="813">
      <c r="N813" s="627"/>
      <c r="U813" s="627"/>
    </row>
    <row r="814">
      <c r="N814" s="627"/>
      <c r="U814" s="627"/>
    </row>
    <row r="815">
      <c r="N815" s="627"/>
      <c r="U815" s="627"/>
    </row>
    <row r="816">
      <c r="N816" s="627"/>
      <c r="U816" s="627"/>
    </row>
    <row r="817">
      <c r="N817" s="627"/>
      <c r="U817" s="627"/>
    </row>
    <row r="818">
      <c r="N818" s="627"/>
      <c r="U818" s="627"/>
    </row>
    <row r="819">
      <c r="N819" s="627"/>
      <c r="U819" s="627"/>
    </row>
    <row r="820">
      <c r="N820" s="627"/>
      <c r="U820" s="627"/>
    </row>
    <row r="821">
      <c r="N821" s="627"/>
      <c r="U821" s="627"/>
    </row>
    <row r="822">
      <c r="N822" s="627"/>
      <c r="U822" s="627"/>
    </row>
    <row r="823">
      <c r="N823" s="627"/>
      <c r="U823" s="627"/>
    </row>
    <row r="824">
      <c r="N824" s="627"/>
      <c r="U824" s="627"/>
    </row>
    <row r="825">
      <c r="N825" s="627"/>
      <c r="U825" s="627"/>
    </row>
    <row r="826">
      <c r="N826" s="627"/>
      <c r="U826" s="627"/>
    </row>
    <row r="827">
      <c r="N827" s="627"/>
      <c r="U827" s="627"/>
    </row>
    <row r="828">
      <c r="N828" s="627"/>
      <c r="U828" s="627"/>
    </row>
    <row r="829">
      <c r="N829" s="627"/>
      <c r="U829" s="627"/>
    </row>
    <row r="830">
      <c r="N830" s="627"/>
      <c r="U830" s="627"/>
    </row>
    <row r="831">
      <c r="N831" s="627"/>
      <c r="U831" s="627"/>
    </row>
    <row r="832">
      <c r="N832" s="627"/>
      <c r="U832" s="627"/>
    </row>
    <row r="833">
      <c r="N833" s="627"/>
      <c r="U833" s="627"/>
    </row>
    <row r="834">
      <c r="N834" s="627"/>
      <c r="U834" s="627"/>
    </row>
    <row r="835">
      <c r="N835" s="627"/>
      <c r="U835" s="627"/>
    </row>
    <row r="836">
      <c r="N836" s="627"/>
      <c r="U836" s="627"/>
    </row>
    <row r="837">
      <c r="N837" s="627"/>
      <c r="U837" s="627"/>
    </row>
    <row r="838">
      <c r="N838" s="627"/>
      <c r="U838" s="627"/>
    </row>
    <row r="839">
      <c r="N839" s="627"/>
      <c r="U839" s="627"/>
    </row>
    <row r="840">
      <c r="N840" s="627"/>
      <c r="U840" s="627"/>
    </row>
    <row r="841">
      <c r="N841" s="627"/>
      <c r="U841" s="627"/>
    </row>
    <row r="842">
      <c r="N842" s="627"/>
      <c r="U842" s="627"/>
    </row>
    <row r="843">
      <c r="N843" s="627"/>
      <c r="U843" s="627"/>
    </row>
    <row r="844">
      <c r="N844" s="627"/>
      <c r="U844" s="627"/>
    </row>
    <row r="845">
      <c r="N845" s="627"/>
      <c r="U845" s="627"/>
    </row>
    <row r="846">
      <c r="N846" s="627"/>
      <c r="U846" s="627"/>
    </row>
    <row r="847">
      <c r="N847" s="627"/>
      <c r="U847" s="627"/>
    </row>
    <row r="848">
      <c r="N848" s="627"/>
      <c r="U848" s="627"/>
    </row>
    <row r="849">
      <c r="N849" s="627"/>
      <c r="U849" s="627"/>
    </row>
    <row r="850">
      <c r="N850" s="627"/>
      <c r="U850" s="627"/>
    </row>
    <row r="851">
      <c r="N851" s="627"/>
      <c r="U851" s="627"/>
    </row>
    <row r="852">
      <c r="N852" s="627"/>
      <c r="U852" s="627"/>
    </row>
    <row r="853">
      <c r="N853" s="627"/>
      <c r="U853" s="627"/>
    </row>
    <row r="854">
      <c r="N854" s="627"/>
      <c r="U854" s="627"/>
    </row>
    <row r="855">
      <c r="N855" s="627"/>
      <c r="U855" s="627"/>
    </row>
    <row r="856">
      <c r="N856" s="627"/>
      <c r="U856" s="627"/>
    </row>
    <row r="857">
      <c r="N857" s="627"/>
      <c r="U857" s="627"/>
    </row>
    <row r="858">
      <c r="N858" s="627"/>
      <c r="U858" s="627"/>
    </row>
    <row r="859">
      <c r="N859" s="627"/>
      <c r="U859" s="627"/>
    </row>
    <row r="860">
      <c r="N860" s="627"/>
      <c r="U860" s="627"/>
    </row>
    <row r="861">
      <c r="N861" s="627"/>
      <c r="U861" s="627"/>
    </row>
    <row r="862">
      <c r="N862" s="627"/>
      <c r="U862" s="627"/>
    </row>
    <row r="863">
      <c r="N863" s="627"/>
      <c r="U863" s="627"/>
    </row>
    <row r="864">
      <c r="N864" s="627"/>
      <c r="U864" s="627"/>
    </row>
    <row r="865">
      <c r="N865" s="627"/>
      <c r="U865" s="627"/>
    </row>
    <row r="866">
      <c r="N866" s="627"/>
      <c r="U866" s="627"/>
    </row>
    <row r="867">
      <c r="N867" s="627"/>
      <c r="U867" s="627"/>
    </row>
    <row r="868">
      <c r="N868" s="627"/>
      <c r="U868" s="627"/>
    </row>
    <row r="869">
      <c r="N869" s="627"/>
      <c r="U869" s="627"/>
    </row>
    <row r="870">
      <c r="N870" s="627"/>
      <c r="U870" s="627"/>
    </row>
    <row r="871">
      <c r="N871" s="627"/>
      <c r="U871" s="627"/>
    </row>
    <row r="872">
      <c r="N872" s="627"/>
      <c r="U872" s="627"/>
    </row>
    <row r="873">
      <c r="N873" s="627"/>
      <c r="U873" s="627"/>
    </row>
    <row r="874">
      <c r="N874" s="627"/>
      <c r="U874" s="627"/>
    </row>
    <row r="875">
      <c r="N875" s="627"/>
      <c r="U875" s="627"/>
    </row>
    <row r="876">
      <c r="N876" s="627"/>
      <c r="U876" s="627"/>
    </row>
    <row r="877">
      <c r="N877" s="627"/>
      <c r="U877" s="627"/>
    </row>
    <row r="878">
      <c r="N878" s="627"/>
      <c r="U878" s="627"/>
    </row>
    <row r="879">
      <c r="N879" s="627"/>
      <c r="U879" s="627"/>
    </row>
    <row r="880">
      <c r="N880" s="627"/>
      <c r="U880" s="627"/>
    </row>
    <row r="881">
      <c r="N881" s="627"/>
      <c r="U881" s="627"/>
    </row>
    <row r="882">
      <c r="N882" s="627"/>
      <c r="U882" s="627"/>
    </row>
    <row r="883">
      <c r="N883" s="627"/>
      <c r="U883" s="627"/>
    </row>
    <row r="884">
      <c r="N884" s="627"/>
      <c r="U884" s="627"/>
    </row>
    <row r="885">
      <c r="N885" s="627"/>
      <c r="U885" s="627"/>
    </row>
    <row r="886">
      <c r="N886" s="627"/>
      <c r="U886" s="627"/>
    </row>
    <row r="887">
      <c r="N887" s="627"/>
      <c r="U887" s="627"/>
    </row>
    <row r="888">
      <c r="N888" s="627"/>
      <c r="U888" s="627"/>
    </row>
    <row r="889">
      <c r="N889" s="627"/>
      <c r="U889" s="627"/>
    </row>
    <row r="890">
      <c r="N890" s="627"/>
      <c r="U890" s="627"/>
    </row>
    <row r="891">
      <c r="N891" s="627"/>
      <c r="U891" s="627"/>
    </row>
    <row r="892">
      <c r="N892" s="627"/>
      <c r="U892" s="627"/>
    </row>
    <row r="893">
      <c r="N893" s="627"/>
      <c r="U893" s="627"/>
    </row>
    <row r="894">
      <c r="N894" s="627"/>
      <c r="U894" s="627"/>
    </row>
    <row r="895">
      <c r="N895" s="627"/>
      <c r="U895" s="627"/>
    </row>
    <row r="896">
      <c r="N896" s="627"/>
      <c r="U896" s="627"/>
    </row>
    <row r="897">
      <c r="N897" s="627"/>
      <c r="U897" s="627"/>
    </row>
    <row r="898">
      <c r="N898" s="627"/>
      <c r="U898" s="627"/>
    </row>
    <row r="899">
      <c r="N899" s="627"/>
      <c r="U899" s="627"/>
    </row>
    <row r="900">
      <c r="N900" s="627"/>
      <c r="U900" s="627"/>
    </row>
    <row r="901">
      <c r="N901" s="627"/>
      <c r="U901" s="627"/>
    </row>
    <row r="902">
      <c r="N902" s="627"/>
      <c r="U902" s="627"/>
    </row>
    <row r="903">
      <c r="N903" s="627"/>
      <c r="U903" s="627"/>
    </row>
    <row r="904">
      <c r="N904" s="627"/>
      <c r="U904" s="627"/>
    </row>
    <row r="905">
      <c r="N905" s="627"/>
      <c r="U905" s="627"/>
    </row>
    <row r="906">
      <c r="N906" s="627"/>
      <c r="U906" s="627"/>
    </row>
    <row r="907">
      <c r="N907" s="627"/>
      <c r="U907" s="627"/>
    </row>
    <row r="908">
      <c r="N908" s="627"/>
      <c r="U908" s="627"/>
    </row>
    <row r="909">
      <c r="N909" s="627"/>
      <c r="U909" s="627"/>
    </row>
    <row r="910">
      <c r="N910" s="627"/>
      <c r="U910" s="627"/>
    </row>
    <row r="911">
      <c r="N911" s="627"/>
      <c r="U911" s="627"/>
    </row>
    <row r="912">
      <c r="N912" s="627"/>
      <c r="U912" s="627"/>
    </row>
    <row r="913">
      <c r="N913" s="627"/>
      <c r="U913" s="627"/>
    </row>
    <row r="914">
      <c r="N914" s="627"/>
      <c r="U914" s="627"/>
    </row>
    <row r="915">
      <c r="N915" s="627"/>
      <c r="U915" s="627"/>
    </row>
    <row r="916">
      <c r="N916" s="627"/>
      <c r="U916" s="627"/>
    </row>
    <row r="917">
      <c r="N917" s="627"/>
      <c r="U917" s="627"/>
    </row>
    <row r="918">
      <c r="N918" s="627"/>
      <c r="U918" s="627"/>
    </row>
    <row r="919">
      <c r="N919" s="627"/>
      <c r="U919" s="627"/>
    </row>
    <row r="920">
      <c r="N920" s="627"/>
      <c r="U920" s="627"/>
    </row>
    <row r="921">
      <c r="N921" s="627"/>
      <c r="U921" s="627"/>
    </row>
    <row r="922">
      <c r="N922" s="627"/>
      <c r="U922" s="627"/>
    </row>
    <row r="923">
      <c r="N923" s="627"/>
      <c r="U923" s="627"/>
    </row>
    <row r="924">
      <c r="N924" s="627"/>
      <c r="U924" s="627"/>
    </row>
    <row r="925">
      <c r="N925" s="627"/>
      <c r="U925" s="627"/>
    </row>
    <row r="926">
      <c r="N926" s="627"/>
      <c r="U926" s="627"/>
    </row>
    <row r="927">
      <c r="N927" s="627"/>
      <c r="U927" s="627"/>
    </row>
    <row r="928">
      <c r="N928" s="627"/>
      <c r="U928" s="627"/>
    </row>
    <row r="929">
      <c r="N929" s="627"/>
      <c r="U929" s="627"/>
    </row>
    <row r="930">
      <c r="N930" s="627"/>
      <c r="U930" s="627"/>
    </row>
    <row r="931">
      <c r="N931" s="627"/>
      <c r="U931" s="627"/>
    </row>
    <row r="932">
      <c r="N932" s="627"/>
      <c r="U932" s="627"/>
    </row>
    <row r="933">
      <c r="N933" s="627"/>
      <c r="U933" s="627"/>
    </row>
    <row r="934">
      <c r="N934" s="627"/>
      <c r="U934" s="627"/>
    </row>
    <row r="935">
      <c r="N935" s="627"/>
      <c r="U935" s="627"/>
    </row>
    <row r="936">
      <c r="N936" s="627"/>
      <c r="U936" s="627"/>
    </row>
    <row r="937">
      <c r="N937" s="627"/>
      <c r="U937" s="627"/>
    </row>
    <row r="938">
      <c r="N938" s="627"/>
      <c r="U938" s="627"/>
    </row>
    <row r="939">
      <c r="N939" s="627"/>
      <c r="U939" s="627"/>
    </row>
    <row r="940">
      <c r="N940" s="627"/>
      <c r="U940" s="627"/>
    </row>
    <row r="941">
      <c r="N941" s="627"/>
      <c r="U941" s="627"/>
    </row>
    <row r="942">
      <c r="N942" s="627"/>
      <c r="U942" s="627"/>
    </row>
    <row r="943">
      <c r="N943" s="627"/>
      <c r="U943" s="627"/>
    </row>
    <row r="944">
      <c r="N944" s="627"/>
      <c r="U944" s="627"/>
    </row>
    <row r="945">
      <c r="N945" s="627"/>
      <c r="U945" s="627"/>
    </row>
    <row r="946">
      <c r="N946" s="627"/>
      <c r="U946" s="627"/>
    </row>
    <row r="947">
      <c r="N947" s="627"/>
      <c r="U947" s="627"/>
    </row>
    <row r="948">
      <c r="N948" s="627"/>
      <c r="U948" s="627"/>
    </row>
    <row r="949">
      <c r="N949" s="627"/>
      <c r="U949" s="627"/>
    </row>
    <row r="950">
      <c r="N950" s="627"/>
      <c r="U950" s="627"/>
    </row>
    <row r="951">
      <c r="N951" s="627"/>
      <c r="U951" s="627"/>
    </row>
    <row r="952">
      <c r="N952" s="627"/>
      <c r="U952" s="627"/>
    </row>
    <row r="953">
      <c r="N953" s="627"/>
      <c r="U953" s="627"/>
    </row>
    <row r="954">
      <c r="N954" s="627"/>
      <c r="U954" s="627"/>
    </row>
    <row r="955">
      <c r="N955" s="627"/>
      <c r="U955" s="627"/>
    </row>
    <row r="956">
      <c r="N956" s="627"/>
      <c r="U956" s="627"/>
    </row>
    <row r="957">
      <c r="N957" s="627"/>
      <c r="U957" s="627"/>
    </row>
    <row r="958">
      <c r="N958" s="627"/>
      <c r="U958" s="627"/>
    </row>
    <row r="959">
      <c r="N959" s="627"/>
      <c r="U959" s="627"/>
    </row>
    <row r="960">
      <c r="N960" s="627"/>
      <c r="U960" s="627"/>
    </row>
    <row r="961">
      <c r="N961" s="627"/>
      <c r="U961" s="627"/>
    </row>
    <row r="962">
      <c r="N962" s="627"/>
      <c r="U962" s="627"/>
    </row>
    <row r="963">
      <c r="N963" s="627"/>
      <c r="U963" s="627"/>
    </row>
    <row r="964">
      <c r="N964" s="627"/>
      <c r="U964" s="627"/>
    </row>
    <row r="965">
      <c r="N965" s="627"/>
      <c r="U965" s="627"/>
    </row>
    <row r="966">
      <c r="N966" s="627"/>
      <c r="U966" s="627"/>
    </row>
    <row r="967">
      <c r="N967" s="627"/>
      <c r="U967" s="627"/>
    </row>
    <row r="968">
      <c r="N968" s="627"/>
      <c r="U968" s="627"/>
    </row>
    <row r="969">
      <c r="N969" s="627"/>
      <c r="U969" s="627"/>
    </row>
    <row r="970">
      <c r="N970" s="627"/>
      <c r="U970" s="627"/>
    </row>
    <row r="971">
      <c r="N971" s="627"/>
      <c r="U971" s="627"/>
    </row>
    <row r="972">
      <c r="N972" s="627"/>
      <c r="U972" s="627"/>
    </row>
    <row r="973">
      <c r="N973" s="627"/>
      <c r="U973" s="627"/>
    </row>
    <row r="974">
      <c r="N974" s="627"/>
      <c r="U974" s="627"/>
    </row>
    <row r="975">
      <c r="N975" s="627"/>
      <c r="U975" s="627"/>
    </row>
    <row r="976">
      <c r="N976" s="627"/>
      <c r="U976" s="627"/>
    </row>
    <row r="977">
      <c r="N977" s="627"/>
      <c r="U977" s="627"/>
    </row>
    <row r="978">
      <c r="N978" s="627"/>
      <c r="U978" s="627"/>
    </row>
    <row r="979">
      <c r="N979" s="627"/>
      <c r="U979" s="627"/>
    </row>
    <row r="980">
      <c r="N980" s="627"/>
      <c r="U980" s="627"/>
    </row>
    <row r="981">
      <c r="N981" s="627"/>
      <c r="U981" s="627"/>
    </row>
    <row r="982">
      <c r="N982" s="627"/>
      <c r="U982" s="627"/>
    </row>
    <row r="983">
      <c r="N983" s="627"/>
      <c r="U983" s="627"/>
    </row>
  </sheetData>
  <printOptions gridLines="1" horizontalCentered="1"/>
  <pageMargins bottom="0.75" footer="0.0" header="0.0" left="0.25" right="0.25" top="0.75"/>
  <pageSetup cellComments="atEnd" orientation="landscape" pageOrder="overThenDown"/>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sheetData>
    <row r="1">
      <c r="A1" s="218"/>
      <c r="B1" s="218"/>
      <c r="C1" s="218"/>
      <c r="D1" s="218"/>
      <c r="E1" s="218"/>
      <c r="F1" s="218"/>
      <c r="G1" s="218"/>
      <c r="H1" s="218"/>
    </row>
    <row r="2">
      <c r="A2" s="218"/>
      <c r="B2" s="218"/>
      <c r="C2" s="218"/>
      <c r="D2" s="218"/>
      <c r="E2" s="218"/>
      <c r="F2" s="218"/>
      <c r="G2" s="218"/>
      <c r="H2" s="218"/>
    </row>
    <row r="3">
      <c r="A3" s="218"/>
      <c r="B3" s="628" t="s">
        <v>614</v>
      </c>
      <c r="C3" s="10"/>
      <c r="D3" s="11"/>
      <c r="E3" s="218"/>
      <c r="F3" s="218"/>
      <c r="G3" s="218"/>
      <c r="H3" s="218"/>
    </row>
    <row r="4" ht="19.5" customHeight="1">
      <c r="A4" s="218"/>
      <c r="B4" s="14"/>
      <c r="C4" s="15"/>
      <c r="D4" s="16"/>
      <c r="E4" s="218"/>
      <c r="F4" s="218"/>
      <c r="G4" s="218"/>
      <c r="H4" s="218"/>
    </row>
    <row r="5">
      <c r="A5" s="218"/>
      <c r="B5" s="629" t="s">
        <v>615</v>
      </c>
      <c r="C5" s="218"/>
      <c r="D5" s="218"/>
      <c r="E5" s="218"/>
      <c r="F5" s="218"/>
      <c r="G5" s="218"/>
      <c r="H5" s="218"/>
    </row>
    <row r="6">
      <c r="A6" s="218"/>
      <c r="B6" s="630" t="s">
        <v>616</v>
      </c>
      <c r="C6" s="218"/>
      <c r="D6" s="218"/>
      <c r="E6" s="218"/>
      <c r="F6" s="218"/>
      <c r="G6" s="218"/>
      <c r="H6" s="218"/>
    </row>
    <row r="7">
      <c r="A7" s="218"/>
      <c r="B7" s="631" t="s">
        <v>617</v>
      </c>
      <c r="C7" s="218"/>
      <c r="D7" s="218"/>
      <c r="E7" s="218"/>
      <c r="F7" s="218"/>
      <c r="G7" s="218"/>
      <c r="H7" s="218"/>
    </row>
    <row r="8">
      <c r="A8" s="218"/>
      <c r="B8" s="218"/>
      <c r="C8" s="632" t="s">
        <v>618</v>
      </c>
      <c r="D8" s="35"/>
      <c r="E8" s="35"/>
      <c r="F8" s="36"/>
      <c r="H8" s="218"/>
    </row>
    <row r="9">
      <c r="A9" s="218"/>
      <c r="B9" s="218"/>
      <c r="C9" s="218"/>
      <c r="D9" s="218"/>
      <c r="E9" s="218"/>
      <c r="F9" s="218"/>
      <c r="G9" s="218"/>
      <c r="H9" s="218"/>
    </row>
    <row r="10">
      <c r="A10" s="218"/>
      <c r="B10" s="633" t="s">
        <v>619</v>
      </c>
      <c r="C10" s="35"/>
      <c r="D10" s="36"/>
      <c r="E10" s="218"/>
      <c r="F10" s="634" t="str">
        <f>VLOOKUP(C8,'🤝 Client information'!C80:K89 , 6, FALSE)</f>
        <v>#N/A</v>
      </c>
      <c r="G10" s="218"/>
      <c r="H10" s="218"/>
    </row>
    <row r="11">
      <c r="A11" s="218"/>
      <c r="B11" s="218"/>
      <c r="C11" s="218"/>
      <c r="D11" s="218"/>
      <c r="E11" s="218"/>
      <c r="F11" s="634" t="str">
        <f>VLOOKUP(C8,'🤝 Client information'!C80:K89 , 9, FALSE)</f>
        <v>#N/A</v>
      </c>
      <c r="G11" s="218"/>
      <c r="H11" s="218"/>
    </row>
    <row r="12">
      <c r="A12" s="218"/>
      <c r="B12" s="218"/>
      <c r="C12" s="218"/>
      <c r="D12" s="218"/>
      <c r="E12" s="218"/>
      <c r="F12" s="634" t="str">
        <f>VLOOKUP(C8,'🤝 Client information'!C80:K89 , 5, FALSE)</f>
        <v>#N/A</v>
      </c>
      <c r="G12" s="218"/>
      <c r="H12" s="218"/>
    </row>
    <row r="13">
      <c r="A13" s="218"/>
      <c r="B13" s="218"/>
      <c r="C13" s="218"/>
      <c r="D13" s="218"/>
      <c r="E13" s="218"/>
      <c r="F13" s="218"/>
      <c r="G13" s="218"/>
      <c r="H13" s="218"/>
    </row>
    <row r="14">
      <c r="A14" s="218"/>
      <c r="B14" s="218"/>
      <c r="C14" s="218"/>
      <c r="D14" s="218"/>
      <c r="E14" s="218"/>
      <c r="F14" s="218"/>
      <c r="G14" s="218"/>
      <c r="H14" s="218"/>
    </row>
    <row r="15">
      <c r="A15" s="218"/>
      <c r="B15" s="635" t="s">
        <v>620</v>
      </c>
      <c r="C15" s="218"/>
      <c r="D15" s="218"/>
      <c r="E15" s="218"/>
      <c r="F15" s="218"/>
      <c r="G15" s="218"/>
      <c r="H15" s="218"/>
    </row>
    <row r="16">
      <c r="A16" s="218"/>
      <c r="B16" s="636">
        <f>today()</f>
        <v>46155</v>
      </c>
      <c r="C16" s="218"/>
      <c r="D16" s="637" t="s">
        <v>621</v>
      </c>
      <c r="E16" s="637" t="s">
        <v>621</v>
      </c>
      <c r="F16" s="218"/>
      <c r="G16" s="218"/>
      <c r="H16" s="218"/>
    </row>
    <row r="17">
      <c r="A17" s="218"/>
      <c r="B17" s="218"/>
      <c r="C17" s="218"/>
      <c r="D17" s="218"/>
      <c r="E17" s="218"/>
      <c r="F17" s="218"/>
      <c r="G17" s="218"/>
      <c r="H17" s="218"/>
    </row>
    <row r="18">
      <c r="A18" s="218"/>
      <c r="B18" s="638" t="s">
        <v>622</v>
      </c>
      <c r="C18" s="639"/>
      <c r="D18" s="639"/>
      <c r="E18" s="639"/>
      <c r="F18" s="640" t="s">
        <v>210</v>
      </c>
      <c r="G18" s="218"/>
      <c r="H18" s="218"/>
    </row>
    <row r="19">
      <c r="A19" s="218"/>
      <c r="B19" s="641" t="s">
        <v>623</v>
      </c>
      <c r="C19" s="642"/>
      <c r="D19" s="642"/>
      <c r="E19" s="643"/>
      <c r="F19" s="644">
        <v>1.0</v>
      </c>
      <c r="G19" s="218"/>
      <c r="H19" s="218"/>
    </row>
    <row r="20">
      <c r="A20" s="218"/>
      <c r="B20" s="560"/>
      <c r="C20" s="560"/>
      <c r="D20" s="560"/>
      <c r="E20" s="560"/>
      <c r="F20" s="560"/>
      <c r="G20" s="218"/>
      <c r="H20" s="218"/>
    </row>
    <row r="21">
      <c r="A21" s="218"/>
      <c r="B21" s="218"/>
      <c r="C21" s="218"/>
      <c r="D21" s="218"/>
      <c r="E21" s="218"/>
      <c r="F21" s="218"/>
      <c r="G21" s="218"/>
      <c r="H21" s="218"/>
    </row>
    <row r="22">
      <c r="A22" s="218"/>
      <c r="B22" s="218"/>
      <c r="C22" s="218"/>
      <c r="D22" s="218"/>
      <c r="E22" s="218"/>
      <c r="F22" s="218"/>
      <c r="G22" s="218"/>
      <c r="H22" s="218"/>
    </row>
    <row r="23">
      <c r="A23" s="218"/>
      <c r="B23" s="218"/>
      <c r="C23" s="218"/>
      <c r="D23" s="218"/>
      <c r="E23" s="218"/>
      <c r="F23" s="218"/>
      <c r="G23" s="218"/>
      <c r="H23" s="218"/>
    </row>
    <row r="24">
      <c r="A24" s="218"/>
      <c r="B24" s="645"/>
      <c r="C24" s="645"/>
      <c r="D24" s="645"/>
      <c r="E24" s="645"/>
      <c r="F24" s="645"/>
      <c r="G24" s="218"/>
      <c r="H24" s="218"/>
    </row>
    <row r="25">
      <c r="A25" s="218"/>
      <c r="B25" s="646" t="s">
        <v>624</v>
      </c>
      <c r="C25" s="647"/>
      <c r="D25" s="647"/>
      <c r="E25" s="647"/>
      <c r="F25" s="648">
        <f>F19</f>
        <v>1</v>
      </c>
      <c r="G25" s="218"/>
      <c r="H25" s="218"/>
    </row>
    <row r="26">
      <c r="A26" s="218"/>
      <c r="B26" s="649" t="s">
        <v>625</v>
      </c>
      <c r="C26" s="650"/>
      <c r="D26" s="650"/>
      <c r="E26" s="651"/>
      <c r="F26" s="652" t="s">
        <v>626</v>
      </c>
      <c r="G26" s="218"/>
      <c r="H26" s="218"/>
    </row>
    <row r="27">
      <c r="A27" s="218"/>
      <c r="B27" s="653" t="s">
        <v>627</v>
      </c>
      <c r="C27" s="654"/>
      <c r="D27" s="654"/>
      <c r="E27" s="654"/>
      <c r="F27" s="655">
        <f>F25</f>
        <v>1</v>
      </c>
      <c r="G27" s="218"/>
      <c r="H27" s="218"/>
    </row>
    <row r="28">
      <c r="A28" s="218"/>
      <c r="B28" s="560"/>
      <c r="C28" s="560"/>
      <c r="D28" s="560"/>
      <c r="E28" s="560"/>
      <c r="F28" s="560"/>
      <c r="G28" s="218"/>
      <c r="H28" s="218"/>
    </row>
    <row r="29">
      <c r="A29" s="218"/>
      <c r="B29" s="218"/>
      <c r="C29" s="218"/>
      <c r="D29" s="218"/>
      <c r="E29" s="218"/>
      <c r="F29" s="218"/>
      <c r="G29" s="218"/>
      <c r="H29" s="218"/>
    </row>
    <row r="30">
      <c r="A30" s="218"/>
      <c r="B30" s="218"/>
      <c r="C30" s="218"/>
      <c r="D30" s="218"/>
      <c r="E30" s="218"/>
      <c r="F30" s="218"/>
      <c r="G30" s="218"/>
      <c r="H30" s="218"/>
    </row>
    <row r="31" ht="17.25" customHeight="1">
      <c r="A31" s="218"/>
      <c r="B31" s="656" t="s">
        <v>628</v>
      </c>
      <c r="C31" s="657"/>
      <c r="E31" s="657"/>
      <c r="F31" s="634" t="str">
        <f>VLOOKUP(C8,'👾 RAW MAPPING'!F6:J15 , 5, FALSE)</f>
        <v>#N/A</v>
      </c>
      <c r="G31" s="218"/>
      <c r="H31" s="218"/>
    </row>
    <row r="32">
      <c r="A32" s="218"/>
      <c r="B32" s="658" t="s">
        <v>629</v>
      </c>
      <c r="C32" s="36"/>
      <c r="D32" s="218"/>
      <c r="E32" s="218"/>
      <c r="F32" s="659" t="s">
        <v>630</v>
      </c>
      <c r="G32" s="218"/>
      <c r="H32" s="218"/>
    </row>
    <row r="33">
      <c r="A33" s="218"/>
      <c r="B33" s="218"/>
      <c r="C33" s="218"/>
      <c r="D33" s="218"/>
      <c r="E33" s="218"/>
      <c r="F33" s="218"/>
      <c r="G33" s="218"/>
      <c r="H33" s="218"/>
    </row>
    <row r="34">
      <c r="A34" s="218"/>
      <c r="B34" s="229"/>
      <c r="C34" s="35"/>
      <c r="D34" s="35"/>
      <c r="E34" s="35"/>
      <c r="F34" s="36"/>
      <c r="G34" s="218"/>
      <c r="H34" s="218"/>
    </row>
    <row r="35">
      <c r="A35" s="218"/>
      <c r="B35" s="229"/>
      <c r="C35" s="35"/>
      <c r="D35" s="35"/>
      <c r="E35" s="35"/>
      <c r="F35" s="35"/>
      <c r="G35" s="36"/>
      <c r="H35" s="218"/>
    </row>
    <row r="36">
      <c r="A36" s="218"/>
      <c r="B36" s="229"/>
      <c r="C36" s="35"/>
      <c r="D36" s="35"/>
      <c r="E36" s="35"/>
      <c r="F36" s="35"/>
      <c r="G36" s="36"/>
      <c r="H36" s="218"/>
    </row>
    <row r="37">
      <c r="A37" s="218"/>
      <c r="B37" s="218"/>
      <c r="C37" s="229"/>
      <c r="D37" s="36"/>
      <c r="E37" s="660"/>
      <c r="F37" s="660"/>
      <c r="G37" s="218"/>
      <c r="H37" s="218"/>
    </row>
  </sheetData>
  <mergeCells count="9">
    <mergeCell ref="B36:G36"/>
    <mergeCell ref="C37:D37"/>
    <mergeCell ref="B3:D4"/>
    <mergeCell ref="C8:F8"/>
    <mergeCell ref="B10:D10"/>
    <mergeCell ref="B19:E19"/>
    <mergeCell ref="B32:C32"/>
    <mergeCell ref="B34:F34"/>
    <mergeCell ref="B35:G35"/>
  </mergeCells>
  <dataValidations>
    <dataValidation type="list" allowBlank="1" showErrorMessage="1" sqref="C8">
      <formula1>'🤝 Client information'!$C$80:$E$89</formula1>
    </dataValidation>
  </dataValidations>
  <printOptions gridLines="1" horizontalCentered="1"/>
  <pageMargins bottom="0.75" footer="0.0" header="0.0" left="0.7" right="0.7" top="0.75"/>
  <pageSetup fitToHeight="0" cellComments="atEnd" orientation="portrait"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61"/>
      <c r="B1" s="662"/>
      <c r="C1" s="662"/>
      <c r="D1" s="663"/>
      <c r="E1" s="663"/>
      <c r="F1" s="664"/>
      <c r="G1" s="663"/>
      <c r="H1" s="662"/>
      <c r="I1" s="662"/>
      <c r="J1" s="662"/>
      <c r="K1" s="662"/>
      <c r="L1" s="662"/>
      <c r="M1" s="662"/>
      <c r="N1" s="662"/>
      <c r="O1" s="662"/>
      <c r="P1" s="662"/>
      <c r="Q1" s="662"/>
      <c r="R1" s="662"/>
      <c r="S1" s="662"/>
      <c r="T1" s="662"/>
      <c r="U1" s="662"/>
      <c r="V1" s="662"/>
      <c r="W1" s="662"/>
      <c r="X1" s="662"/>
      <c r="Y1" s="662"/>
      <c r="Z1" s="665"/>
      <c r="AA1" s="666"/>
      <c r="AB1" s="666"/>
      <c r="AC1" s="666"/>
      <c r="AD1" s="666"/>
      <c r="AE1" s="666"/>
      <c r="AF1" s="666"/>
      <c r="AG1" s="666"/>
      <c r="AH1" s="666"/>
      <c r="AI1" s="666"/>
      <c r="AJ1" s="666"/>
      <c r="AK1" s="666"/>
      <c r="AL1" s="666"/>
      <c r="AM1" s="666"/>
      <c r="AN1" s="666"/>
      <c r="AO1" s="666"/>
      <c r="AP1" s="666"/>
      <c r="AQ1" s="666"/>
      <c r="AR1" s="666"/>
      <c r="AS1" s="666"/>
      <c r="AT1" s="666"/>
      <c r="AU1" s="666"/>
      <c r="AV1" s="666"/>
      <c r="AW1" s="666"/>
      <c r="AX1" s="666"/>
      <c r="AY1" s="666"/>
      <c r="AZ1" s="666"/>
      <c r="BA1" s="666"/>
      <c r="BB1" s="666"/>
      <c r="BC1" s="666"/>
      <c r="BD1" s="666"/>
      <c r="BE1" s="666"/>
      <c r="BF1" s="666"/>
      <c r="BG1" s="666"/>
      <c r="BH1" s="666"/>
      <c r="BI1" s="666"/>
      <c r="BJ1" s="666"/>
      <c r="BK1" s="666"/>
      <c r="BL1" s="666"/>
      <c r="BM1" s="666"/>
      <c r="BN1" s="666"/>
      <c r="BO1" s="666"/>
      <c r="BP1" s="666"/>
      <c r="BQ1" s="666"/>
      <c r="BR1" s="666"/>
      <c r="BS1" s="666"/>
      <c r="BT1" s="666"/>
      <c r="BU1" s="666"/>
      <c r="BV1" s="666"/>
      <c r="BW1" s="666"/>
      <c r="BX1" s="666"/>
      <c r="BY1" s="666"/>
      <c r="BZ1" s="666"/>
      <c r="CA1" s="666"/>
      <c r="CB1" s="666"/>
      <c r="CC1" s="666"/>
      <c r="CD1" s="666"/>
      <c r="CE1" s="666"/>
      <c r="CF1" s="666"/>
      <c r="CG1" s="666"/>
      <c r="CH1" s="666"/>
      <c r="CI1" s="666"/>
      <c r="CJ1" s="666"/>
      <c r="CK1" s="666"/>
      <c r="CL1" s="666"/>
      <c r="CM1" s="666"/>
      <c r="CN1" s="666"/>
      <c r="CO1" s="666"/>
      <c r="CP1" s="666"/>
      <c r="CQ1" s="666"/>
      <c r="CR1" s="666"/>
      <c r="CS1" s="666"/>
      <c r="CT1" s="666"/>
      <c r="CU1" s="666"/>
      <c r="CV1" s="666"/>
      <c r="CW1" s="666"/>
      <c r="CX1" s="666"/>
      <c r="CY1" s="666"/>
      <c r="CZ1" s="666"/>
      <c r="DA1" s="666"/>
      <c r="DB1" s="666"/>
      <c r="DC1" s="666"/>
      <c r="DD1" s="666"/>
      <c r="DE1" s="666"/>
      <c r="DF1" s="666"/>
      <c r="DG1" s="666"/>
      <c r="DH1" s="666"/>
      <c r="DI1" s="666"/>
      <c r="DJ1" s="666"/>
      <c r="DK1" s="666"/>
      <c r="DL1" s="666"/>
      <c r="DM1" s="666"/>
      <c r="DN1" s="666"/>
      <c r="DO1" s="666"/>
      <c r="DP1" s="666"/>
      <c r="DQ1" s="666"/>
      <c r="DR1" s="666"/>
      <c r="DS1" s="666"/>
      <c r="DT1" s="666"/>
      <c r="DU1" s="666"/>
      <c r="DV1" s="666"/>
      <c r="DW1" s="666"/>
      <c r="DX1" s="666"/>
    </row>
    <row r="2" ht="18.75" customHeight="1">
      <c r="A2" s="667" t="s">
        <v>631</v>
      </c>
      <c r="B2" s="668" t="s">
        <v>632</v>
      </c>
      <c r="C2" s="445"/>
      <c r="D2" s="446"/>
      <c r="E2" s="663"/>
      <c r="F2" s="664"/>
      <c r="G2" s="663"/>
      <c r="H2" s="662"/>
      <c r="I2" s="662"/>
      <c r="J2" s="662"/>
      <c r="K2" s="662"/>
      <c r="L2" s="662"/>
      <c r="M2" s="662"/>
      <c r="N2" s="662"/>
      <c r="O2" s="662"/>
      <c r="P2" s="662"/>
      <c r="Q2" s="662"/>
      <c r="R2" s="662"/>
      <c r="S2" s="662"/>
      <c r="T2" s="662"/>
      <c r="U2" s="662"/>
      <c r="V2" s="662"/>
      <c r="W2" s="662"/>
      <c r="X2" s="662"/>
      <c r="Y2" s="662"/>
      <c r="Z2" s="665"/>
      <c r="AA2" s="666"/>
      <c r="AB2" s="666"/>
      <c r="AC2" s="666"/>
      <c r="AD2" s="666"/>
      <c r="AE2" s="666"/>
      <c r="AF2" s="666"/>
      <c r="AG2" s="666"/>
      <c r="AH2" s="666"/>
      <c r="AI2" s="666"/>
      <c r="AJ2" s="666"/>
      <c r="AK2" s="666"/>
      <c r="AL2" s="666"/>
      <c r="AM2" s="666"/>
      <c r="AN2" s="666"/>
      <c r="AO2" s="666"/>
      <c r="AP2" s="666"/>
      <c r="AQ2" s="666"/>
      <c r="AR2" s="666"/>
      <c r="AS2" s="666"/>
      <c r="AT2" s="666"/>
      <c r="AU2" s="666"/>
      <c r="AV2" s="666"/>
      <c r="AW2" s="666"/>
      <c r="AX2" s="666"/>
      <c r="AY2" s="666"/>
      <c r="AZ2" s="666"/>
      <c r="BA2" s="666"/>
      <c r="BB2" s="666"/>
      <c r="BC2" s="666"/>
      <c r="BD2" s="666"/>
      <c r="BE2" s="666"/>
      <c r="BF2" s="666"/>
      <c r="BG2" s="666"/>
      <c r="BH2" s="666"/>
      <c r="BI2" s="666"/>
      <c r="BJ2" s="666"/>
      <c r="BK2" s="666"/>
      <c r="BL2" s="666"/>
      <c r="BM2" s="666"/>
      <c r="BN2" s="666"/>
      <c r="BO2" s="666"/>
      <c r="BP2" s="666"/>
      <c r="BQ2" s="666"/>
      <c r="BR2" s="666"/>
      <c r="BS2" s="666"/>
      <c r="BT2" s="666"/>
      <c r="BU2" s="666"/>
      <c r="BV2" s="666"/>
      <c r="BW2" s="666"/>
      <c r="BX2" s="666"/>
      <c r="BY2" s="666"/>
      <c r="BZ2" s="666"/>
      <c r="CA2" s="666"/>
      <c r="CB2" s="666"/>
      <c r="CC2" s="666"/>
      <c r="CD2" s="666"/>
      <c r="CE2" s="666"/>
      <c r="CF2" s="666"/>
      <c r="CG2" s="666"/>
      <c r="CH2" s="666"/>
      <c r="CI2" s="666"/>
      <c r="CJ2" s="666"/>
      <c r="CK2" s="666"/>
      <c r="CL2" s="666"/>
      <c r="CM2" s="666"/>
      <c r="CN2" s="666"/>
      <c r="CO2" s="666"/>
      <c r="CP2" s="666"/>
      <c r="CQ2" s="666"/>
      <c r="CR2" s="666"/>
      <c r="CS2" s="666"/>
      <c r="CT2" s="666"/>
      <c r="CU2" s="666"/>
      <c r="CV2" s="666"/>
      <c r="CW2" s="666"/>
      <c r="CX2" s="666"/>
      <c r="CY2" s="666"/>
      <c r="CZ2" s="666"/>
      <c r="DA2" s="666"/>
      <c r="DB2" s="666"/>
      <c r="DC2" s="666"/>
      <c r="DD2" s="666"/>
      <c r="DE2" s="666"/>
      <c r="DF2" s="666"/>
      <c r="DG2" s="666"/>
      <c r="DH2" s="666"/>
      <c r="DI2" s="666"/>
      <c r="DJ2" s="666"/>
      <c r="DK2" s="666"/>
      <c r="DL2" s="666"/>
      <c r="DM2" s="666"/>
      <c r="DN2" s="666"/>
      <c r="DO2" s="666"/>
      <c r="DP2" s="666"/>
      <c r="DQ2" s="666"/>
      <c r="DR2" s="666"/>
      <c r="DS2" s="666"/>
      <c r="DT2" s="666"/>
      <c r="DU2" s="666"/>
      <c r="DV2" s="666"/>
      <c r="DW2" s="666"/>
      <c r="DX2" s="666"/>
    </row>
    <row r="3" ht="18.0" customHeight="1">
      <c r="A3" s="388"/>
      <c r="B3" s="387"/>
      <c r="C3" s="387"/>
      <c r="D3" s="388"/>
      <c r="E3" s="669"/>
      <c r="F3" s="670"/>
      <c r="G3" s="669"/>
      <c r="H3" s="571"/>
      <c r="I3" s="571"/>
      <c r="J3" s="571"/>
      <c r="K3" s="571"/>
      <c r="L3" s="571"/>
      <c r="M3" s="571"/>
      <c r="N3" s="571"/>
      <c r="O3" s="571"/>
      <c r="P3" s="571"/>
      <c r="Q3" s="571"/>
      <c r="R3" s="571"/>
      <c r="S3" s="571"/>
      <c r="T3" s="571"/>
      <c r="U3" s="571"/>
      <c r="V3" s="571"/>
      <c r="W3" s="571"/>
      <c r="X3" s="571"/>
      <c r="Y3" s="571"/>
      <c r="Z3" s="671"/>
      <c r="AA3" s="666"/>
      <c r="AB3" s="666"/>
      <c r="AC3" s="666"/>
      <c r="AD3" s="666"/>
      <c r="AE3" s="666"/>
      <c r="AF3" s="666"/>
      <c r="AG3" s="666"/>
      <c r="AH3" s="666"/>
      <c r="AI3" s="666"/>
      <c r="AJ3" s="666"/>
      <c r="AK3" s="666"/>
      <c r="AL3" s="666"/>
      <c r="AM3" s="666"/>
      <c r="AN3" s="666"/>
      <c r="AO3" s="666"/>
      <c r="AP3" s="666"/>
      <c r="AQ3" s="666"/>
      <c r="AR3" s="666"/>
      <c r="AS3" s="666"/>
      <c r="AT3" s="666"/>
      <c r="AU3" s="666"/>
      <c r="AV3" s="666"/>
      <c r="AW3" s="666"/>
      <c r="AX3" s="666"/>
      <c r="AY3" s="666"/>
      <c r="AZ3" s="666"/>
      <c r="BA3" s="666"/>
      <c r="BB3" s="666"/>
      <c r="BC3" s="666"/>
      <c r="BD3" s="666"/>
      <c r="BE3" s="666"/>
      <c r="BF3" s="666"/>
      <c r="BG3" s="666"/>
      <c r="BH3" s="666"/>
      <c r="BI3" s="666"/>
      <c r="BJ3" s="666"/>
      <c r="BK3" s="666"/>
      <c r="BL3" s="666"/>
      <c r="BM3" s="666"/>
      <c r="BN3" s="666"/>
      <c r="BO3" s="666"/>
      <c r="BP3" s="666"/>
      <c r="BQ3" s="666"/>
      <c r="BR3" s="666"/>
      <c r="BS3" s="666"/>
      <c r="BT3" s="666"/>
      <c r="BU3" s="666"/>
      <c r="BV3" s="666"/>
      <c r="BW3" s="666"/>
      <c r="BX3" s="666"/>
      <c r="BY3" s="666"/>
      <c r="BZ3" s="666"/>
      <c r="CA3" s="666"/>
      <c r="CB3" s="666"/>
      <c r="CC3" s="666"/>
      <c r="CD3" s="666"/>
      <c r="CE3" s="666"/>
      <c r="CF3" s="666"/>
      <c r="CG3" s="666"/>
      <c r="CH3" s="666"/>
      <c r="CI3" s="666"/>
      <c r="CJ3" s="666"/>
      <c r="CK3" s="666"/>
      <c r="CL3" s="666"/>
      <c r="CM3" s="666"/>
      <c r="CN3" s="666"/>
      <c r="CO3" s="666"/>
      <c r="CP3" s="666"/>
      <c r="CQ3" s="666"/>
      <c r="CR3" s="666"/>
      <c r="CS3" s="666"/>
      <c r="CT3" s="666"/>
      <c r="CU3" s="666"/>
      <c r="CV3" s="666"/>
      <c r="CW3" s="666"/>
      <c r="CX3" s="666"/>
      <c r="CY3" s="666"/>
      <c r="CZ3" s="666"/>
      <c r="DA3" s="666"/>
      <c r="DB3" s="666"/>
      <c r="DC3" s="666"/>
      <c r="DD3" s="666"/>
      <c r="DE3" s="666"/>
      <c r="DF3" s="666"/>
      <c r="DG3" s="666"/>
      <c r="DH3" s="666"/>
      <c r="DI3" s="666"/>
      <c r="DJ3" s="666"/>
      <c r="DK3" s="666"/>
      <c r="DL3" s="666"/>
      <c r="DM3" s="666"/>
      <c r="DN3" s="666"/>
      <c r="DO3" s="666"/>
      <c r="DP3" s="666"/>
      <c r="DQ3" s="666"/>
      <c r="DR3" s="666"/>
      <c r="DS3" s="666"/>
      <c r="DT3" s="666"/>
      <c r="DU3" s="666"/>
      <c r="DV3" s="666"/>
      <c r="DW3" s="666"/>
      <c r="DX3" s="666"/>
    </row>
    <row r="4">
      <c r="A4" s="672"/>
      <c r="B4" s="673"/>
      <c r="C4" s="673"/>
      <c r="D4" s="674"/>
      <c r="E4" s="674"/>
      <c r="F4" s="675"/>
      <c r="G4" s="674"/>
      <c r="H4" s="673"/>
      <c r="I4" s="673"/>
      <c r="J4" s="673"/>
      <c r="K4" s="673"/>
      <c r="L4" s="673"/>
      <c r="M4" s="673"/>
      <c r="N4" s="673"/>
      <c r="O4" s="673"/>
      <c r="P4" s="673"/>
      <c r="Q4" s="673"/>
      <c r="R4" s="673"/>
      <c r="S4" s="673"/>
      <c r="T4" s="673"/>
      <c r="U4" s="673"/>
      <c r="V4" s="673"/>
      <c r="W4" s="673"/>
      <c r="X4" s="673"/>
      <c r="Y4" s="673"/>
      <c r="Z4" s="676"/>
      <c r="AA4" s="666"/>
      <c r="AB4" s="666"/>
      <c r="AC4" s="666"/>
      <c r="AD4" s="666"/>
      <c r="AE4" s="666"/>
      <c r="AF4" s="666"/>
      <c r="AG4" s="666"/>
      <c r="AH4" s="666"/>
      <c r="AI4" s="666"/>
      <c r="AJ4" s="666"/>
      <c r="AK4" s="666"/>
      <c r="AL4" s="666"/>
      <c r="AM4" s="666"/>
      <c r="AN4" s="666"/>
      <c r="AO4" s="666"/>
      <c r="AP4" s="666"/>
      <c r="AQ4" s="666"/>
      <c r="AR4" s="666"/>
      <c r="AS4" s="666"/>
      <c r="AT4" s="666"/>
      <c r="AU4" s="666"/>
      <c r="AV4" s="666"/>
      <c r="AW4" s="666"/>
      <c r="AX4" s="666"/>
      <c r="AY4" s="666"/>
      <c r="AZ4" s="666"/>
      <c r="BA4" s="666"/>
      <c r="BB4" s="666"/>
      <c r="BC4" s="666"/>
      <c r="BD4" s="666"/>
      <c r="BE4" s="666"/>
      <c r="BF4" s="666"/>
      <c r="BG4" s="666"/>
      <c r="BH4" s="666"/>
      <c r="BI4" s="666"/>
      <c r="BJ4" s="666"/>
      <c r="BK4" s="666"/>
      <c r="BL4" s="666"/>
      <c r="BM4" s="666"/>
      <c r="BN4" s="666"/>
      <c r="BO4" s="666"/>
      <c r="BP4" s="666"/>
      <c r="BQ4" s="666"/>
      <c r="BR4" s="666"/>
      <c r="BS4" s="666"/>
      <c r="BT4" s="666"/>
      <c r="BU4" s="666"/>
      <c r="BV4" s="666"/>
      <c r="BW4" s="666"/>
      <c r="BX4" s="666"/>
      <c r="BY4" s="666"/>
      <c r="BZ4" s="666"/>
      <c r="CA4" s="666"/>
      <c r="CB4" s="666"/>
      <c r="CC4" s="666"/>
      <c r="CD4" s="666"/>
      <c r="CE4" s="666"/>
      <c r="CF4" s="666"/>
      <c r="CG4" s="666"/>
      <c r="CH4" s="666"/>
      <c r="CI4" s="666"/>
      <c r="CJ4" s="666"/>
      <c r="CK4" s="666"/>
      <c r="CL4" s="666"/>
      <c r="CM4" s="666"/>
      <c r="CN4" s="666"/>
      <c r="CO4" s="666"/>
      <c r="CP4" s="666"/>
      <c r="CQ4" s="666"/>
      <c r="CR4" s="666"/>
      <c r="CS4" s="666"/>
      <c r="CT4" s="666"/>
      <c r="CU4" s="666"/>
      <c r="CV4" s="666"/>
      <c r="CW4" s="666"/>
      <c r="CX4" s="666"/>
      <c r="CY4" s="666"/>
      <c r="CZ4" s="666"/>
      <c r="DA4" s="666"/>
      <c r="DB4" s="666"/>
      <c r="DC4" s="666"/>
      <c r="DD4" s="666"/>
      <c r="DE4" s="666"/>
      <c r="DF4" s="666"/>
      <c r="DG4" s="666"/>
      <c r="DH4" s="666"/>
      <c r="DI4" s="666"/>
      <c r="DJ4" s="666"/>
      <c r="DK4" s="666"/>
      <c r="DL4" s="666"/>
      <c r="DM4" s="666"/>
      <c r="DN4" s="666"/>
      <c r="DO4" s="666"/>
      <c r="DP4" s="666"/>
      <c r="DQ4" s="666"/>
      <c r="DR4" s="666"/>
      <c r="DS4" s="666"/>
      <c r="DT4" s="666"/>
      <c r="DU4" s="666"/>
      <c r="DV4" s="666"/>
      <c r="DW4" s="666"/>
      <c r="DX4" s="666"/>
    </row>
    <row r="5">
      <c r="A5" s="677" t="s">
        <v>633</v>
      </c>
      <c r="B5" s="678"/>
      <c r="C5" s="678"/>
      <c r="D5" s="677"/>
      <c r="E5" s="679"/>
      <c r="F5" s="677" t="s">
        <v>634</v>
      </c>
      <c r="J5" s="677" t="s">
        <v>635</v>
      </c>
    </row>
    <row r="6">
      <c r="A6" s="679" t="s">
        <v>636</v>
      </c>
      <c r="B6" s="679" t="s">
        <v>637</v>
      </c>
      <c r="C6" s="680" t="s">
        <v>638</v>
      </c>
      <c r="D6" s="681" t="s">
        <v>639</v>
      </c>
      <c r="F6" s="682" t="str">
        <f>'🤝 Client information'!C80</f>
        <v/>
      </c>
      <c r="J6" s="683"/>
      <c r="K6" s="679" t="s">
        <v>640</v>
      </c>
    </row>
    <row r="7">
      <c r="A7" s="679" t="s">
        <v>641</v>
      </c>
      <c r="B7" s="679" t="s">
        <v>642</v>
      </c>
      <c r="C7" s="680" t="s">
        <v>643</v>
      </c>
      <c r="D7" s="681" t="s">
        <v>644</v>
      </c>
      <c r="F7" s="682" t="str">
        <f>'🤝 Client information'!C81</f>
        <v/>
      </c>
      <c r="J7" s="684"/>
    </row>
    <row r="8">
      <c r="A8" s="679" t="s">
        <v>645</v>
      </c>
      <c r="B8" s="679" t="s">
        <v>646</v>
      </c>
      <c r="C8" s="680" t="s">
        <v>647</v>
      </c>
      <c r="F8" s="682" t="str">
        <f>'🤝 Client information'!C82</f>
        <v/>
      </c>
      <c r="J8" s="684"/>
    </row>
    <row r="9">
      <c r="A9" s="679" t="s">
        <v>648</v>
      </c>
      <c r="B9" s="679" t="s">
        <v>649</v>
      </c>
      <c r="C9" s="680" t="s">
        <v>650</v>
      </c>
      <c r="D9" s="681" t="s">
        <v>651</v>
      </c>
      <c r="F9" s="682" t="str">
        <f>'🤝 Client information'!C83</f>
        <v/>
      </c>
      <c r="J9" s="685"/>
    </row>
    <row r="10">
      <c r="A10" s="679" t="s">
        <v>652</v>
      </c>
      <c r="B10" s="679" t="s">
        <v>653</v>
      </c>
      <c r="C10" s="680" t="s">
        <v>654</v>
      </c>
      <c r="D10" s="681" t="s">
        <v>655</v>
      </c>
      <c r="F10" s="682" t="str">
        <f>'🤝 Client information'!C84</f>
        <v/>
      </c>
      <c r="J10" s="685"/>
    </row>
    <row r="11">
      <c r="A11" s="686" t="s">
        <v>656</v>
      </c>
      <c r="B11" s="686" t="s">
        <v>657</v>
      </c>
      <c r="C11" s="686" t="s">
        <v>658</v>
      </c>
      <c r="D11" s="687" t="s">
        <v>659</v>
      </c>
      <c r="F11" s="682" t="str">
        <f>'🤝 Client information'!C85</f>
        <v/>
      </c>
      <c r="J11" s="685"/>
    </row>
    <row r="12">
      <c r="A12" s="679" t="s">
        <v>660</v>
      </c>
      <c r="B12" s="679" t="s">
        <v>661</v>
      </c>
      <c r="C12" s="679" t="s">
        <v>662</v>
      </c>
      <c r="D12" s="688" t="s">
        <v>663</v>
      </c>
      <c r="E12" s="686"/>
      <c r="F12" s="682" t="str">
        <f>'🤝 Client information'!C86</f>
        <v/>
      </c>
      <c r="J12" s="685"/>
    </row>
    <row r="13">
      <c r="A13" s="679" t="s">
        <v>664</v>
      </c>
      <c r="B13" s="679" t="s">
        <v>665</v>
      </c>
      <c r="C13" s="679" t="s">
        <v>666</v>
      </c>
      <c r="D13" s="688" t="s">
        <v>667</v>
      </c>
      <c r="E13" s="686"/>
      <c r="F13" s="682" t="str">
        <f>'🤝 Client information'!C87</f>
        <v/>
      </c>
      <c r="J13" s="685"/>
    </row>
    <row r="14">
      <c r="A14" s="679" t="s">
        <v>668</v>
      </c>
      <c r="B14" s="679" t="s">
        <v>669</v>
      </c>
      <c r="C14" s="679" t="s">
        <v>670</v>
      </c>
      <c r="D14" s="688" t="s">
        <v>671</v>
      </c>
      <c r="E14" s="686"/>
      <c r="F14" s="682" t="str">
        <f>'🤝 Client information'!C88</f>
        <v/>
      </c>
      <c r="J14" s="685"/>
    </row>
    <row r="15">
      <c r="D15" s="686"/>
      <c r="E15" s="686"/>
      <c r="F15" s="682" t="str">
        <f>'🤝 Client information'!C89</f>
        <v/>
      </c>
      <c r="J15" s="685"/>
    </row>
    <row r="16">
      <c r="D16" s="686"/>
      <c r="E16" s="686"/>
      <c r="F16" s="686"/>
      <c r="G16" s="686"/>
      <c r="J16" s="689"/>
    </row>
    <row r="17">
      <c r="A17" s="677" t="s">
        <v>672</v>
      </c>
      <c r="B17" s="678"/>
      <c r="C17" s="678"/>
      <c r="D17" s="678"/>
      <c r="E17" s="678"/>
      <c r="F17" s="690"/>
    </row>
    <row r="18">
      <c r="A18" s="691" t="s">
        <v>673</v>
      </c>
      <c r="B18" s="692" t="s">
        <v>584</v>
      </c>
      <c r="C18" s="693" t="s">
        <v>674</v>
      </c>
      <c r="D18" s="694" t="s">
        <v>584</v>
      </c>
      <c r="E18" s="692" t="s">
        <v>675</v>
      </c>
      <c r="F18" s="692" t="s">
        <v>584</v>
      </c>
      <c r="G18" s="693" t="s">
        <v>676</v>
      </c>
      <c r="H18" s="694" t="s">
        <v>584</v>
      </c>
      <c r="I18" s="692" t="s">
        <v>677</v>
      </c>
      <c r="J18" s="695" t="s">
        <v>584</v>
      </c>
    </row>
    <row r="19">
      <c r="A19" s="696" t="str">
        <f>IF('🚀 Mobility program(s)'!M42="yes",'🚀 Mobility program(s)'!E42,"")</f>
        <v/>
      </c>
      <c r="B19" s="109"/>
      <c r="C19" s="696" t="str">
        <f>IF('🚀 Mobility program(s)'!M136="yes",'🚀 Mobility program(s)'!E136,"")</f>
        <v/>
      </c>
      <c r="D19" s="382"/>
      <c r="E19" s="57" t="str">
        <f>IF('🚀 Mobility program(s)'!M230="yes",'🚀 Mobility program(s)'!E230,"")</f>
        <v/>
      </c>
      <c r="F19" s="109"/>
      <c r="G19" s="696" t="str">
        <f>IF('🚀 Mobility program(s)'!M324="yes",'🚀 Mobility program(s)'!E324,"")</f>
        <v/>
      </c>
      <c r="H19" s="382"/>
      <c r="I19" s="57" t="str">
        <f>IF('🚀 Mobility program(s)'!M418="yes",'🚀 Mobility program(s)'!E418,"")</f>
        <v/>
      </c>
      <c r="J19" s="382"/>
    </row>
    <row r="20">
      <c r="A20" s="696" t="str">
        <f>IF('🚀 Mobility program(s)'!M43="yes",'🚀 Mobility program(s)'!E43,"")</f>
        <v/>
      </c>
      <c r="B20" s="58"/>
      <c r="C20" s="696" t="str">
        <f>IF('🚀 Mobility program(s)'!M137="yes",'🚀 Mobility program(s)'!E137,"")</f>
        <v/>
      </c>
      <c r="D20" s="697"/>
      <c r="E20" s="57" t="str">
        <f>IF('🚀 Mobility program(s)'!M231="yes",'🚀 Mobility program(s)'!E231,"")</f>
        <v/>
      </c>
      <c r="F20" s="58"/>
      <c r="G20" s="696" t="str">
        <f>IF('🚀 Mobility program(s)'!M325="yes",'🚀 Mobility program(s)'!E325,"")</f>
        <v/>
      </c>
      <c r="H20" s="697"/>
      <c r="I20" s="57" t="str">
        <f>IF('🚀 Mobility program(s)'!M419="yes",'🚀 Mobility program(s)'!E419,"")</f>
        <v/>
      </c>
      <c r="J20" s="697"/>
    </row>
    <row r="21">
      <c r="A21" s="696" t="str">
        <f>IF('🚀 Mobility program(s)'!M44="yes",'🚀 Mobility program(s)'!E44,"")</f>
        <v/>
      </c>
      <c r="B21" s="58"/>
      <c r="C21" s="696" t="str">
        <f>IF('🚀 Mobility program(s)'!M138="yes",'🚀 Mobility program(s)'!E138,"")</f>
        <v/>
      </c>
      <c r="D21" s="697"/>
      <c r="E21" s="57" t="str">
        <f>IF('🚀 Mobility program(s)'!M232="yes",'🚀 Mobility program(s)'!E232,"")</f>
        <v/>
      </c>
      <c r="F21" s="58"/>
      <c r="G21" s="696" t="str">
        <f>IF('🚀 Mobility program(s)'!M326="yes",'🚀 Mobility program(s)'!E326,"")</f>
        <v/>
      </c>
      <c r="H21" s="697"/>
      <c r="I21" s="57" t="str">
        <f>IF('🚀 Mobility program(s)'!M420="yes",'🚀 Mobility program(s)'!E420,"")</f>
        <v/>
      </c>
      <c r="J21" s="697"/>
    </row>
    <row r="22">
      <c r="A22" s="696" t="str">
        <f>IF('🚀 Mobility program(s)'!M45="yes",'🚀 Mobility program(s)'!E45,"")</f>
        <v/>
      </c>
      <c r="B22" s="58"/>
      <c r="C22" s="696" t="str">
        <f>IF('🚀 Mobility program(s)'!M139="yes",'🚀 Mobility program(s)'!E139,"")</f>
        <v/>
      </c>
      <c r="D22" s="697"/>
      <c r="E22" s="57" t="str">
        <f>IF('🚀 Mobility program(s)'!M233="yes",'🚀 Mobility program(s)'!E233,"")</f>
        <v/>
      </c>
      <c r="F22" s="58"/>
      <c r="G22" s="696" t="str">
        <f>IF('🚀 Mobility program(s)'!M327="yes",'🚀 Mobility program(s)'!E327,"")</f>
        <v/>
      </c>
      <c r="H22" s="697"/>
      <c r="I22" s="57" t="str">
        <f>IF('🚀 Mobility program(s)'!M421="yes",'🚀 Mobility program(s)'!E421,"")</f>
        <v/>
      </c>
      <c r="J22" s="697"/>
    </row>
    <row r="23">
      <c r="A23" s="696" t="str">
        <f>IF('🚀 Mobility program(s)'!M46="yes",'🚀 Mobility program(s)'!E46,"")</f>
        <v/>
      </c>
      <c r="B23" s="58"/>
      <c r="C23" s="696" t="str">
        <f>IF('🚀 Mobility program(s)'!M140="yes",'🚀 Mobility program(s)'!E140,"")</f>
        <v/>
      </c>
      <c r="D23" s="697"/>
      <c r="E23" s="57" t="str">
        <f>IF('🚀 Mobility program(s)'!M234="yes",'🚀 Mobility program(s)'!E234,"")</f>
        <v/>
      </c>
      <c r="F23" s="58"/>
      <c r="G23" s="696" t="str">
        <f>IF('🚀 Mobility program(s)'!M328="yes",'🚀 Mobility program(s)'!E328,"")</f>
        <v/>
      </c>
      <c r="H23" s="697"/>
      <c r="I23" s="57" t="str">
        <f>IF('🚀 Mobility program(s)'!M422="yes",'🚀 Mobility program(s)'!E422,"")</f>
        <v/>
      </c>
      <c r="J23" s="697"/>
    </row>
    <row r="24">
      <c r="A24" s="696" t="str">
        <f>IF('🚀 Mobility program(s)'!M47="yes",'🚀 Mobility program(s)'!E47,"")</f>
        <v/>
      </c>
      <c r="B24" s="58"/>
      <c r="C24" s="696" t="str">
        <f>IF('🚀 Mobility program(s)'!M141="yes",'🚀 Mobility program(s)'!E141,"")</f>
        <v/>
      </c>
      <c r="D24" s="697"/>
      <c r="E24" s="57" t="str">
        <f>IF('🚀 Mobility program(s)'!M235="yes",'🚀 Mobility program(s)'!E235,"")</f>
        <v/>
      </c>
      <c r="F24" s="58"/>
      <c r="G24" s="696" t="str">
        <f>IF('🚀 Mobility program(s)'!M329="yes",'🚀 Mobility program(s)'!E329,"")</f>
        <v/>
      </c>
      <c r="H24" s="697"/>
      <c r="I24" s="57" t="str">
        <f>IF('🚀 Mobility program(s)'!M423="yes",'🚀 Mobility program(s)'!E423,"")</f>
        <v/>
      </c>
      <c r="J24" s="697"/>
    </row>
    <row r="25">
      <c r="A25" s="696" t="str">
        <f>IF('🚀 Mobility program(s)'!M48="yes",'🚀 Mobility program(s)'!E48,"")</f>
        <v/>
      </c>
      <c r="B25" s="58"/>
      <c r="C25" s="696" t="str">
        <f>IF('🚀 Mobility program(s)'!M142="yes",'🚀 Mobility program(s)'!E142,"")</f>
        <v/>
      </c>
      <c r="D25" s="697"/>
      <c r="E25" s="57" t="str">
        <f>IF('🚀 Mobility program(s)'!M236="yes",'🚀 Mobility program(s)'!E236,"")</f>
        <v/>
      </c>
      <c r="F25" s="58"/>
      <c r="G25" s="696" t="str">
        <f>IF('🚀 Mobility program(s)'!M330="yes",'🚀 Mobility program(s)'!E330,"")</f>
        <v/>
      </c>
      <c r="H25" s="697"/>
      <c r="I25" s="57" t="str">
        <f>IF('🚀 Mobility program(s)'!M424="yes",'🚀 Mobility program(s)'!E424,"")</f>
        <v/>
      </c>
      <c r="J25" s="697"/>
    </row>
    <row r="26">
      <c r="A26" s="696" t="str">
        <f>IF('🚀 Mobility program(s)'!M49="yes",'🚀 Mobility program(s)'!E49,"")</f>
        <v/>
      </c>
      <c r="B26" s="58"/>
      <c r="C26" s="696" t="str">
        <f>IF('🚀 Mobility program(s)'!M143="yes",'🚀 Mobility program(s)'!E143,"")</f>
        <v/>
      </c>
      <c r="D26" s="697"/>
      <c r="E26" s="57" t="str">
        <f>IF('🚀 Mobility program(s)'!M237="yes",'🚀 Mobility program(s)'!E237,"")</f>
        <v/>
      </c>
      <c r="F26" s="58"/>
      <c r="G26" s="696" t="str">
        <f>IF('🚀 Mobility program(s)'!M331="yes",'🚀 Mobility program(s)'!E331,"")</f>
        <v/>
      </c>
      <c r="H26" s="697"/>
      <c r="I26" s="57" t="str">
        <f>IF('🚀 Mobility program(s)'!M425="yes",'🚀 Mobility program(s)'!E425,"")</f>
        <v/>
      </c>
      <c r="J26" s="697"/>
    </row>
    <row r="27">
      <c r="A27" s="696" t="str">
        <f>IF('🚀 Mobility program(s)'!M50="yes",'🚀 Mobility program(s)'!E50,"")</f>
        <v/>
      </c>
      <c r="B27" s="58"/>
      <c r="C27" s="696" t="str">
        <f>IF('🚀 Mobility program(s)'!M144="yes",'🚀 Mobility program(s)'!E144,"")</f>
        <v/>
      </c>
      <c r="D27" s="697"/>
      <c r="E27" s="57" t="str">
        <f>IF('🚀 Mobility program(s)'!M238="yes",'🚀 Mobility program(s)'!E238,"")</f>
        <v/>
      </c>
      <c r="F27" s="58"/>
      <c r="G27" s="696" t="str">
        <f>IF('🚀 Mobility program(s)'!M332="yes",'🚀 Mobility program(s)'!E332,"")</f>
        <v/>
      </c>
      <c r="H27" s="697"/>
      <c r="I27" s="57" t="str">
        <f>IF('🚀 Mobility program(s)'!M426="yes",'🚀 Mobility program(s)'!E426,"")</f>
        <v/>
      </c>
      <c r="J27" s="697"/>
    </row>
    <row r="28">
      <c r="A28" s="696" t="str">
        <f>IF('🚀 Mobility program(s)'!M51="yes",'🚀 Mobility program(s)'!E51,"")</f>
        <v/>
      </c>
      <c r="B28" s="58"/>
      <c r="C28" s="696" t="str">
        <f>IF('🚀 Mobility program(s)'!M145="yes",'🚀 Mobility program(s)'!E145,"")</f>
        <v/>
      </c>
      <c r="D28" s="697"/>
      <c r="E28" s="57" t="str">
        <f>IF('🚀 Mobility program(s)'!M239="yes",'🚀 Mobility program(s)'!E239,"")</f>
        <v/>
      </c>
      <c r="F28" s="58"/>
      <c r="G28" s="696" t="str">
        <f>IF('🚀 Mobility program(s)'!M333="yes",'🚀 Mobility program(s)'!E333,"")</f>
        <v/>
      </c>
      <c r="H28" s="697"/>
      <c r="I28" s="57" t="str">
        <f>IF('🚀 Mobility program(s)'!M427="yes",'🚀 Mobility program(s)'!E427,"")</f>
        <v/>
      </c>
      <c r="J28" s="697"/>
    </row>
    <row r="29">
      <c r="A29" s="696" t="str">
        <f>IF('🚀 Mobility program(s)'!M52="yes",'🚀 Mobility program(s)'!E52,"")</f>
        <v/>
      </c>
      <c r="B29" s="58"/>
      <c r="C29" s="696" t="str">
        <f>IF('🚀 Mobility program(s)'!M146="yes",'🚀 Mobility program(s)'!E146,"")</f>
        <v/>
      </c>
      <c r="D29" s="697"/>
      <c r="E29" s="57" t="str">
        <f>IF('🚀 Mobility program(s)'!M240="yes",'🚀 Mobility program(s)'!E240,"")</f>
        <v/>
      </c>
      <c r="F29" s="58"/>
      <c r="G29" s="696" t="str">
        <f>IF('🚀 Mobility program(s)'!M334="yes",'🚀 Mobility program(s)'!E334,"")</f>
        <v/>
      </c>
      <c r="H29" s="697"/>
      <c r="I29" s="57" t="str">
        <f>IF('🚀 Mobility program(s)'!M428="yes",'🚀 Mobility program(s)'!E428,"")</f>
        <v/>
      </c>
      <c r="J29" s="697"/>
    </row>
    <row r="30">
      <c r="A30" s="696" t="str">
        <f>IF('🚀 Mobility program(s)'!M53="yes",'🚀 Mobility program(s)'!E53,"")</f>
        <v/>
      </c>
      <c r="B30" s="58"/>
      <c r="C30" s="696" t="str">
        <f>IF('🚀 Mobility program(s)'!M147="yes",'🚀 Mobility program(s)'!E147,"")</f>
        <v/>
      </c>
      <c r="D30" s="697"/>
      <c r="E30" s="57" t="str">
        <f>IF('🚀 Mobility program(s)'!M241="yes",'🚀 Mobility program(s)'!E241,"")</f>
        <v/>
      </c>
      <c r="F30" s="58"/>
      <c r="G30" s="696" t="str">
        <f>IF('🚀 Mobility program(s)'!M335="yes",'🚀 Mobility program(s)'!E335,"")</f>
        <v/>
      </c>
      <c r="H30" s="697"/>
      <c r="I30" s="57" t="str">
        <f>IF('🚀 Mobility program(s)'!M429="yes",'🚀 Mobility program(s)'!E429,"")</f>
        <v/>
      </c>
      <c r="J30" s="697"/>
    </row>
    <row r="31">
      <c r="A31" s="696" t="str">
        <f>IF('🚀 Mobility program(s)'!M54="yes",'🚀 Mobility program(s)'!E54,"")</f>
        <v/>
      </c>
      <c r="B31" s="58"/>
      <c r="C31" s="696" t="str">
        <f>IF('🚀 Mobility program(s)'!M148="yes",'🚀 Mobility program(s)'!E148,"")</f>
        <v/>
      </c>
      <c r="D31" s="697"/>
      <c r="E31" s="57" t="str">
        <f>IF('🚀 Mobility program(s)'!M242="yes",'🚀 Mobility program(s)'!E242,"")</f>
        <v/>
      </c>
      <c r="F31" s="58"/>
      <c r="G31" s="696" t="str">
        <f>IF('🚀 Mobility program(s)'!M336="yes",'🚀 Mobility program(s)'!E336,"")</f>
        <v/>
      </c>
      <c r="H31" s="697"/>
      <c r="I31" s="57" t="str">
        <f>IF('🚀 Mobility program(s)'!M430="yes",'🚀 Mobility program(s)'!E430,"")</f>
        <v/>
      </c>
      <c r="J31" s="697"/>
    </row>
    <row r="32">
      <c r="A32" s="696" t="str">
        <f>IF('🚀 Mobility program(s)'!M55="yes",'🚀 Mobility program(s)'!E55,"")</f>
        <v/>
      </c>
      <c r="B32" s="58"/>
      <c r="C32" s="696" t="str">
        <f>IF('🚀 Mobility program(s)'!M149="yes",'🚀 Mobility program(s)'!E149,"")</f>
        <v/>
      </c>
      <c r="D32" s="697"/>
      <c r="E32" s="57" t="str">
        <f>IF('🚀 Mobility program(s)'!M243="yes",'🚀 Mobility program(s)'!E243,"")</f>
        <v/>
      </c>
      <c r="F32" s="58"/>
      <c r="G32" s="696" t="str">
        <f>IF('🚀 Mobility program(s)'!M337="yes",'🚀 Mobility program(s)'!E337,"")</f>
        <v/>
      </c>
      <c r="H32" s="697"/>
      <c r="I32" s="57" t="str">
        <f>IF('🚀 Mobility program(s)'!M431="yes",'🚀 Mobility program(s)'!E431,"")</f>
        <v/>
      </c>
      <c r="J32" s="697"/>
    </row>
    <row r="33">
      <c r="A33" s="696" t="str">
        <f>IF('🚀 Mobility program(s)'!M56="yes",'🚀 Mobility program(s)'!E56,"")</f>
        <v/>
      </c>
      <c r="B33" s="58"/>
      <c r="C33" s="696" t="str">
        <f>IF('🚀 Mobility program(s)'!M150="yes",'🚀 Mobility program(s)'!E150,"")</f>
        <v/>
      </c>
      <c r="D33" s="697"/>
      <c r="E33" s="57" t="str">
        <f>IF('🚀 Mobility program(s)'!M244="yes",'🚀 Mobility program(s)'!E244,"")</f>
        <v/>
      </c>
      <c r="F33" s="58"/>
      <c r="G33" s="696" t="str">
        <f>IF('🚀 Mobility program(s)'!M338="yes",'🚀 Mobility program(s)'!E338,"")</f>
        <v/>
      </c>
      <c r="H33" s="697"/>
      <c r="I33" s="57" t="str">
        <f>IF('🚀 Mobility program(s)'!M432="yes",'🚀 Mobility program(s)'!E432,"")</f>
        <v/>
      </c>
      <c r="J33" s="697"/>
    </row>
    <row r="34">
      <c r="A34" s="696" t="str">
        <f>IF('🚀 Mobility program(s)'!M57="yes",'🚀 Mobility program(s)'!E57,"")</f>
        <v/>
      </c>
      <c r="B34" s="58"/>
      <c r="C34" s="696" t="str">
        <f>IF('🚀 Mobility program(s)'!M151="yes",'🚀 Mobility program(s)'!E151,"")</f>
        <v/>
      </c>
      <c r="D34" s="697"/>
      <c r="E34" s="57" t="str">
        <f>IF('🚀 Mobility program(s)'!M245="yes",'🚀 Mobility program(s)'!E245,"")</f>
        <v/>
      </c>
      <c r="F34" s="58"/>
      <c r="G34" s="696" t="str">
        <f>IF('🚀 Mobility program(s)'!M339="yes",'🚀 Mobility program(s)'!E339,"")</f>
        <v/>
      </c>
      <c r="H34" s="697"/>
      <c r="I34" s="57" t="str">
        <f>IF('🚀 Mobility program(s)'!M433="yes",'🚀 Mobility program(s)'!E433,"")</f>
        <v/>
      </c>
      <c r="J34" s="697"/>
    </row>
    <row r="35">
      <c r="A35" s="696" t="str">
        <f>IF('🚀 Mobility program(s)'!M58="yes",'🚀 Mobility program(s)'!E58,"")</f>
        <v/>
      </c>
      <c r="B35" s="58"/>
      <c r="C35" s="696" t="str">
        <f>IF('🚀 Mobility program(s)'!M152="yes",'🚀 Mobility program(s)'!E152,"")</f>
        <v/>
      </c>
      <c r="D35" s="697"/>
      <c r="E35" s="57" t="str">
        <f>IF('🚀 Mobility program(s)'!M246="yes",'🚀 Mobility program(s)'!E246,"")</f>
        <v/>
      </c>
      <c r="F35" s="58"/>
      <c r="G35" s="696" t="str">
        <f>IF('🚀 Mobility program(s)'!M340="yes",'🚀 Mobility program(s)'!E340,"")</f>
        <v/>
      </c>
      <c r="H35" s="697"/>
      <c r="I35" s="57" t="str">
        <f>IF('🚀 Mobility program(s)'!M434="yes",'🚀 Mobility program(s)'!E434,"")</f>
        <v/>
      </c>
      <c r="J35" s="697"/>
    </row>
    <row r="36">
      <c r="A36" s="696" t="str">
        <f>IF('🚀 Mobility program(s)'!M59="yes",'🚀 Mobility program(s)'!E59,"")</f>
        <v/>
      </c>
      <c r="B36" s="58"/>
      <c r="C36" s="696" t="str">
        <f>IF('🚀 Mobility program(s)'!M153="yes",'🚀 Mobility program(s)'!E153,"")</f>
        <v/>
      </c>
      <c r="D36" s="697"/>
      <c r="E36" s="57" t="str">
        <f>IF('🚀 Mobility program(s)'!M247="yes",'🚀 Mobility program(s)'!E247,"")</f>
        <v/>
      </c>
      <c r="F36" s="58"/>
      <c r="G36" s="696" t="str">
        <f>IF('🚀 Mobility program(s)'!M341="yes",'🚀 Mobility program(s)'!E341,"")</f>
        <v/>
      </c>
      <c r="H36" s="697"/>
      <c r="I36" s="57" t="str">
        <f>IF('🚀 Mobility program(s)'!M435="yes",'🚀 Mobility program(s)'!E435,"")</f>
        <v/>
      </c>
      <c r="J36" s="697"/>
    </row>
    <row r="37">
      <c r="A37" s="696" t="str">
        <f>IF('🚀 Mobility program(s)'!M60="yes",'🚀 Mobility program(s)'!E60,"")</f>
        <v/>
      </c>
      <c r="B37" s="58"/>
      <c r="C37" s="696" t="str">
        <f>IF('🚀 Mobility program(s)'!M154="yes",'🚀 Mobility program(s)'!E154,"")</f>
        <v/>
      </c>
      <c r="D37" s="697"/>
      <c r="E37" s="57" t="str">
        <f>IF('🚀 Mobility program(s)'!M248="yes",'🚀 Mobility program(s)'!E248,"")</f>
        <v/>
      </c>
      <c r="F37" s="58"/>
      <c r="G37" s="696" t="str">
        <f>IF('🚀 Mobility program(s)'!M342="yes",'🚀 Mobility program(s)'!E342,"")</f>
        <v/>
      </c>
      <c r="H37" s="697"/>
      <c r="I37" s="57" t="str">
        <f>IF('🚀 Mobility program(s)'!M436="yes",'🚀 Mobility program(s)'!E436,"")</f>
        <v/>
      </c>
      <c r="J37" s="697"/>
    </row>
    <row r="38">
      <c r="A38" s="696" t="str">
        <f>IF('🚀 Mobility program(s)'!M61="yes",'🚀 Mobility program(s)'!E61,"")</f>
        <v/>
      </c>
      <c r="B38" s="58"/>
      <c r="C38" s="696" t="str">
        <f>IF('🚀 Mobility program(s)'!M155="yes",'🚀 Mobility program(s)'!E155,"")</f>
        <v/>
      </c>
      <c r="D38" s="697"/>
      <c r="E38" s="57" t="str">
        <f>IF('🚀 Mobility program(s)'!M249="yes",'🚀 Mobility program(s)'!E249,"")</f>
        <v/>
      </c>
      <c r="F38" s="58"/>
      <c r="G38" s="696" t="str">
        <f>IF('🚀 Mobility program(s)'!M343="yes",'🚀 Mobility program(s)'!E343,"")</f>
        <v/>
      </c>
      <c r="H38" s="697"/>
      <c r="I38" s="57" t="str">
        <f>IF('🚀 Mobility program(s)'!M437="yes",'🚀 Mobility program(s)'!E437,"")</f>
        <v/>
      </c>
      <c r="J38" s="697"/>
    </row>
    <row r="39">
      <c r="A39" s="696" t="str">
        <f>IF('🚀 Mobility program(s)'!M62="yes",'🚀 Mobility program(s)'!E62,"")</f>
        <v/>
      </c>
      <c r="B39" s="58"/>
      <c r="C39" s="696" t="str">
        <f>IF('🚀 Mobility program(s)'!M156="yes",'🚀 Mobility program(s)'!E156,"")</f>
        <v/>
      </c>
      <c r="D39" s="697"/>
      <c r="E39" s="57" t="str">
        <f>IF('🚀 Mobility program(s)'!M250="yes",'🚀 Mobility program(s)'!E250,"")</f>
        <v/>
      </c>
      <c r="F39" s="58"/>
      <c r="G39" s="696" t="str">
        <f>IF('🚀 Mobility program(s)'!M344="yes",'🚀 Mobility program(s)'!E344,"")</f>
        <v/>
      </c>
      <c r="H39" s="697"/>
      <c r="I39" s="57" t="str">
        <f>IF('🚀 Mobility program(s)'!M438="yes",'🚀 Mobility program(s)'!E438,"")</f>
        <v/>
      </c>
      <c r="J39" s="697"/>
    </row>
    <row r="40">
      <c r="A40" s="696" t="str">
        <f>IF('🚀 Mobility program(s)'!M63="yes",'🚀 Mobility program(s)'!E63,"")</f>
        <v/>
      </c>
      <c r="B40" s="58"/>
      <c r="C40" s="696" t="str">
        <f>IF('🚀 Mobility program(s)'!M157="yes",'🚀 Mobility program(s)'!E157,"")</f>
        <v/>
      </c>
      <c r="D40" s="697"/>
      <c r="E40" s="57" t="str">
        <f>IF('🚀 Mobility program(s)'!M251="yes",'🚀 Mobility program(s)'!E251,"")</f>
        <v/>
      </c>
      <c r="F40" s="58"/>
      <c r="G40" s="696" t="str">
        <f>IF('🚀 Mobility program(s)'!M345="yes",'🚀 Mobility program(s)'!E345,"")</f>
        <v/>
      </c>
      <c r="H40" s="697"/>
      <c r="I40" s="57" t="str">
        <f>IF('🚀 Mobility program(s)'!M439="yes",'🚀 Mobility program(s)'!E439,"")</f>
        <v/>
      </c>
      <c r="J40" s="697"/>
    </row>
    <row r="41">
      <c r="A41" s="696" t="str">
        <f>IF('🚀 Mobility program(s)'!M64="yes",'🚀 Mobility program(s)'!E64,"")</f>
        <v/>
      </c>
      <c r="B41" s="58"/>
      <c r="C41" s="696" t="str">
        <f>IF('🚀 Mobility program(s)'!M158="yes",'🚀 Mobility program(s)'!E158,"")</f>
        <v/>
      </c>
      <c r="D41" s="697"/>
      <c r="E41" s="57" t="str">
        <f>IF('🚀 Mobility program(s)'!M252="yes",'🚀 Mobility program(s)'!E252,"")</f>
        <v/>
      </c>
      <c r="F41" s="58"/>
      <c r="G41" s="696" t="str">
        <f>IF('🚀 Mobility program(s)'!M346="yes",'🚀 Mobility program(s)'!E346,"")</f>
        <v/>
      </c>
      <c r="H41" s="697"/>
      <c r="I41" s="57" t="str">
        <f>IF('🚀 Mobility program(s)'!M440="yes",'🚀 Mobility program(s)'!E440,"")</f>
        <v/>
      </c>
      <c r="J41" s="697"/>
    </row>
    <row r="42">
      <c r="A42" s="696" t="str">
        <f>IF('🚀 Mobility program(s)'!M65="yes",'🚀 Mobility program(s)'!E65,"")</f>
        <v/>
      </c>
      <c r="B42" s="58"/>
      <c r="C42" s="696" t="str">
        <f>IF('🚀 Mobility program(s)'!M159="yes",'🚀 Mobility program(s)'!E159,"")</f>
        <v/>
      </c>
      <c r="D42" s="697"/>
      <c r="E42" s="57" t="str">
        <f>IF('🚀 Mobility program(s)'!M253="yes",'🚀 Mobility program(s)'!E253,"")</f>
        <v/>
      </c>
      <c r="F42" s="58"/>
      <c r="G42" s="696" t="str">
        <f>IF('🚀 Mobility program(s)'!M347="yes",'🚀 Mobility program(s)'!E347,"")</f>
        <v/>
      </c>
      <c r="H42" s="697"/>
      <c r="I42" s="57" t="str">
        <f>IF('🚀 Mobility program(s)'!M441="yes",'🚀 Mobility program(s)'!E441,"")</f>
        <v/>
      </c>
      <c r="J42" s="697"/>
    </row>
    <row r="43">
      <c r="A43" s="696" t="str">
        <f>IF('🚀 Mobility program(s)'!M66="yes",'🚀 Mobility program(s)'!E66,"")</f>
        <v/>
      </c>
      <c r="B43" s="58"/>
      <c r="C43" s="696" t="str">
        <f>IF('🚀 Mobility program(s)'!M160="yes",'🚀 Mobility program(s)'!E160,"")</f>
        <v/>
      </c>
      <c r="D43" s="697"/>
      <c r="E43" s="57" t="str">
        <f>IF('🚀 Mobility program(s)'!M254="yes",'🚀 Mobility program(s)'!E254,"")</f>
        <v/>
      </c>
      <c r="F43" s="58"/>
      <c r="G43" s="696" t="str">
        <f>IF('🚀 Mobility program(s)'!M348="yes",'🚀 Mobility program(s)'!E348,"")</f>
        <v/>
      </c>
      <c r="H43" s="697"/>
      <c r="I43" s="57" t="str">
        <f>IF('🚀 Mobility program(s)'!M442="yes",'🚀 Mobility program(s)'!E442,"")</f>
        <v/>
      </c>
      <c r="J43" s="697"/>
    </row>
    <row r="44">
      <c r="A44" s="696" t="str">
        <f>IF('🚀 Mobility program(s)'!M67="yes",'🚀 Mobility program(s)'!E67,"")</f>
        <v/>
      </c>
      <c r="B44" s="58"/>
      <c r="C44" s="696" t="str">
        <f>IF('🚀 Mobility program(s)'!M161="yes",'🚀 Mobility program(s)'!E161,"")</f>
        <v/>
      </c>
      <c r="D44" s="697"/>
      <c r="E44" s="57" t="str">
        <f>IF('🚀 Mobility program(s)'!M255="yes",'🚀 Mobility program(s)'!E255,"")</f>
        <v/>
      </c>
      <c r="F44" s="58"/>
      <c r="G44" s="696" t="str">
        <f>IF('🚀 Mobility program(s)'!M349="yes",'🚀 Mobility program(s)'!E349,"")</f>
        <v/>
      </c>
      <c r="H44" s="697"/>
      <c r="I44" s="57" t="str">
        <f>IF('🚀 Mobility program(s)'!M443="yes",'🚀 Mobility program(s)'!E443,"")</f>
        <v/>
      </c>
      <c r="J44" s="697"/>
    </row>
    <row r="45">
      <c r="A45" s="696" t="str">
        <f>IF('🚀 Mobility program(s)'!M68="yes",'🚀 Mobility program(s)'!E68,"")</f>
        <v/>
      </c>
      <c r="B45" s="58"/>
      <c r="C45" s="696" t="str">
        <f>IF('🚀 Mobility program(s)'!M162="yes",'🚀 Mobility program(s)'!E162,"")</f>
        <v/>
      </c>
      <c r="D45" s="697"/>
      <c r="E45" s="57" t="str">
        <f>IF('🚀 Mobility program(s)'!M256="yes",'🚀 Mobility program(s)'!E256,"")</f>
        <v/>
      </c>
      <c r="F45" s="58"/>
      <c r="G45" s="696" t="str">
        <f>IF('🚀 Mobility program(s)'!M350="yes",'🚀 Mobility program(s)'!E350,"")</f>
        <v/>
      </c>
      <c r="H45" s="697"/>
      <c r="I45" s="57" t="str">
        <f>IF('🚀 Mobility program(s)'!M444="yes",'🚀 Mobility program(s)'!E444,"")</f>
        <v/>
      </c>
      <c r="J45" s="697"/>
    </row>
    <row r="46">
      <c r="A46" s="696" t="str">
        <f>IF('🚀 Mobility program(s)'!M69="yes",'🚀 Mobility program(s)'!E69,"")</f>
        <v/>
      </c>
      <c r="B46" s="58"/>
      <c r="C46" s="696" t="str">
        <f>IF('🚀 Mobility program(s)'!M163="yes",'🚀 Mobility program(s)'!E163,"")</f>
        <v/>
      </c>
      <c r="D46" s="697"/>
      <c r="E46" s="57" t="str">
        <f>IF('🚀 Mobility program(s)'!M257="yes",'🚀 Mobility program(s)'!E257,"")</f>
        <v/>
      </c>
      <c r="F46" s="58"/>
      <c r="G46" s="696" t="str">
        <f>IF('🚀 Mobility program(s)'!M351="yes",'🚀 Mobility program(s)'!E351,"")</f>
        <v/>
      </c>
      <c r="H46" s="697"/>
      <c r="I46" s="57" t="str">
        <f>IF('🚀 Mobility program(s)'!M445="yes",'🚀 Mobility program(s)'!E445,"")</f>
        <v/>
      </c>
      <c r="J46" s="697"/>
    </row>
    <row r="47">
      <c r="A47" s="696" t="str">
        <f>IF('🚀 Mobility program(s)'!M70="yes",'🚀 Mobility program(s)'!E70,"")</f>
        <v/>
      </c>
      <c r="B47" s="58"/>
      <c r="C47" s="696" t="str">
        <f>IF('🚀 Mobility program(s)'!M164="yes",'🚀 Mobility program(s)'!E164,"")</f>
        <v/>
      </c>
      <c r="D47" s="697"/>
      <c r="E47" s="57" t="str">
        <f>IF('🚀 Mobility program(s)'!M258="yes",'🚀 Mobility program(s)'!E258,"")</f>
        <v/>
      </c>
      <c r="F47" s="58"/>
      <c r="G47" s="696" t="str">
        <f>IF('🚀 Mobility program(s)'!M352="yes",'🚀 Mobility program(s)'!E352,"")</f>
        <v/>
      </c>
      <c r="H47" s="697"/>
      <c r="I47" s="57" t="str">
        <f>IF('🚀 Mobility program(s)'!M446="yes",'🚀 Mobility program(s)'!E446,"")</f>
        <v/>
      </c>
      <c r="J47" s="697"/>
    </row>
    <row r="48">
      <c r="A48" s="696" t="str">
        <f>IF('🚀 Mobility program(s)'!M71="yes",'🚀 Mobility program(s)'!E71,"")</f>
        <v/>
      </c>
      <c r="B48" s="58"/>
      <c r="C48" s="696" t="str">
        <f>IF('🚀 Mobility program(s)'!M165="yes",'🚀 Mobility program(s)'!E165,"")</f>
        <v/>
      </c>
      <c r="D48" s="697"/>
      <c r="E48" s="57" t="str">
        <f>IF('🚀 Mobility program(s)'!M259="yes",'🚀 Mobility program(s)'!E259,"")</f>
        <v/>
      </c>
      <c r="F48" s="58"/>
      <c r="G48" s="696" t="str">
        <f>IF('🚀 Mobility program(s)'!M353="yes",'🚀 Mobility program(s)'!E353,"")</f>
        <v/>
      </c>
      <c r="H48" s="697"/>
      <c r="I48" s="57" t="str">
        <f>IF('🚀 Mobility program(s)'!M447="yes",'🚀 Mobility program(s)'!E447,"")</f>
        <v/>
      </c>
      <c r="J48" s="697"/>
    </row>
    <row r="49">
      <c r="A49" s="696" t="str">
        <f>IF('🚀 Mobility program(s)'!M72="yes",'🚀 Mobility program(s)'!E72,"")</f>
        <v/>
      </c>
      <c r="B49" s="58"/>
      <c r="C49" s="696" t="str">
        <f>IF('🚀 Mobility program(s)'!M166="yes",'🚀 Mobility program(s)'!E166,"")</f>
        <v/>
      </c>
      <c r="D49" s="697"/>
      <c r="E49" s="57" t="str">
        <f>IF('🚀 Mobility program(s)'!M260="yes",'🚀 Mobility program(s)'!E260,"")</f>
        <v/>
      </c>
      <c r="F49" s="58"/>
      <c r="G49" s="696" t="str">
        <f>IF('🚀 Mobility program(s)'!M354="yes",'🚀 Mobility program(s)'!E354,"")</f>
        <v/>
      </c>
      <c r="H49" s="697"/>
      <c r="I49" s="57" t="str">
        <f>IF('🚀 Mobility program(s)'!M448="yes",'🚀 Mobility program(s)'!E448,"")</f>
        <v/>
      </c>
      <c r="J49" s="697"/>
    </row>
    <row r="50">
      <c r="A50" s="696" t="str">
        <f>IF('🚀 Mobility program(s)'!M73="yes",'🚀 Mobility program(s)'!E73,"")</f>
        <v/>
      </c>
      <c r="B50" s="58"/>
      <c r="C50" s="696" t="str">
        <f>IF('🚀 Mobility program(s)'!M167="yes",'🚀 Mobility program(s)'!E167,"")</f>
        <v/>
      </c>
      <c r="D50" s="697"/>
      <c r="E50" s="57" t="str">
        <f>IF('🚀 Mobility program(s)'!M261="yes",'🚀 Mobility program(s)'!E261,"")</f>
        <v/>
      </c>
      <c r="F50" s="58"/>
      <c r="G50" s="696" t="str">
        <f>IF('🚀 Mobility program(s)'!M355="yes",'🚀 Mobility program(s)'!E355,"")</f>
        <v/>
      </c>
      <c r="H50" s="697"/>
      <c r="I50" s="57" t="str">
        <f>IF('🚀 Mobility program(s)'!M449="yes",'🚀 Mobility program(s)'!E449,"")</f>
        <v/>
      </c>
      <c r="J50" s="697"/>
    </row>
    <row r="51">
      <c r="A51" s="696" t="str">
        <f>IF('🚀 Mobility program(s)'!M74="yes",'🚀 Mobility program(s)'!E74,"")</f>
        <v/>
      </c>
      <c r="B51" s="58"/>
      <c r="C51" s="696" t="str">
        <f>IF('🚀 Mobility program(s)'!M168="yes",'🚀 Mobility program(s)'!E168,"")</f>
        <v/>
      </c>
      <c r="D51" s="697"/>
      <c r="E51" s="57" t="str">
        <f>IF('🚀 Mobility program(s)'!M262="yes",'🚀 Mobility program(s)'!E262,"")</f>
        <v/>
      </c>
      <c r="F51" s="58"/>
      <c r="G51" s="696" t="str">
        <f>IF('🚀 Mobility program(s)'!M356="yes",'🚀 Mobility program(s)'!E356,"")</f>
        <v/>
      </c>
      <c r="H51" s="697"/>
      <c r="I51" s="57" t="str">
        <f>IF('🚀 Mobility program(s)'!M450="yes",'🚀 Mobility program(s)'!E450,"")</f>
        <v/>
      </c>
      <c r="J51" s="697"/>
    </row>
    <row r="52">
      <c r="A52" s="696" t="str">
        <f>IF('🚀 Mobility program(s)'!M75="yes",'🚀 Mobility program(s)'!E75,"")</f>
        <v/>
      </c>
      <c r="B52" s="58"/>
      <c r="C52" s="696" t="str">
        <f>IF('🚀 Mobility program(s)'!M169="yes",'🚀 Mobility program(s)'!E169,"")</f>
        <v/>
      </c>
      <c r="D52" s="697"/>
      <c r="E52" s="57" t="str">
        <f>IF('🚀 Mobility program(s)'!M263="yes",'🚀 Mobility program(s)'!E263,"")</f>
        <v/>
      </c>
      <c r="F52" s="58"/>
      <c r="G52" s="696" t="str">
        <f>IF('🚀 Mobility program(s)'!M357="yes",'🚀 Mobility program(s)'!E357,"")</f>
        <v/>
      </c>
      <c r="H52" s="697"/>
      <c r="I52" s="57" t="str">
        <f>IF('🚀 Mobility program(s)'!M451="yes",'🚀 Mobility program(s)'!E451,"")</f>
        <v/>
      </c>
      <c r="J52" s="697"/>
    </row>
    <row r="53">
      <c r="A53" s="696" t="str">
        <f>IF('🚀 Mobility program(s)'!M76="yes",'🚀 Mobility program(s)'!E76,"")</f>
        <v/>
      </c>
      <c r="B53" s="58"/>
      <c r="C53" s="696" t="str">
        <f>IF('🚀 Mobility program(s)'!M170="yes",'🚀 Mobility program(s)'!E170,"")</f>
        <v/>
      </c>
      <c r="D53" s="697"/>
      <c r="E53" s="57" t="str">
        <f>IF('🚀 Mobility program(s)'!M264="yes",'🚀 Mobility program(s)'!E264,"")</f>
        <v/>
      </c>
      <c r="F53" s="58"/>
      <c r="G53" s="696" t="str">
        <f>IF('🚀 Mobility program(s)'!M358="yes",'🚀 Mobility program(s)'!E358,"")</f>
        <v/>
      </c>
      <c r="H53" s="697"/>
      <c r="I53" s="57" t="str">
        <f>IF('🚀 Mobility program(s)'!M452="yes",'🚀 Mobility program(s)'!E452,"")</f>
        <v/>
      </c>
      <c r="J53" s="697"/>
    </row>
    <row r="54">
      <c r="A54" s="696" t="str">
        <f>IF('🚀 Mobility program(s)'!M77="yes",'🚀 Mobility program(s)'!E77,"")</f>
        <v/>
      </c>
      <c r="B54" s="58"/>
      <c r="C54" s="696" t="str">
        <f>IF('🚀 Mobility program(s)'!M171="yes",'🚀 Mobility program(s)'!E171,"")</f>
        <v/>
      </c>
      <c r="D54" s="697"/>
      <c r="E54" s="57" t="str">
        <f>IF('🚀 Mobility program(s)'!M265="yes",'🚀 Mobility program(s)'!E265,"")</f>
        <v/>
      </c>
      <c r="F54" s="58"/>
      <c r="G54" s="696" t="str">
        <f>IF('🚀 Mobility program(s)'!M359="yes",'🚀 Mobility program(s)'!E359,"")</f>
        <v/>
      </c>
      <c r="H54" s="697"/>
      <c r="I54" s="57" t="str">
        <f>IF('🚀 Mobility program(s)'!M453="yes",'🚀 Mobility program(s)'!E453,"")</f>
        <v/>
      </c>
      <c r="J54" s="697"/>
    </row>
    <row r="55">
      <c r="A55" s="698" t="str">
        <f>IF('🚀 Mobility program(s)'!M78="yes",'🚀 Mobility program(s)'!E78,"")</f>
        <v/>
      </c>
      <c r="B55" s="699"/>
      <c r="C55" s="698" t="str">
        <f>IF('🚀 Mobility program(s)'!M172="yes",'🚀 Mobility program(s)'!E172,"")</f>
        <v/>
      </c>
      <c r="D55" s="700"/>
      <c r="E55" s="701" t="str">
        <f>IF('🚀 Mobility program(s)'!M266="yes",'🚀 Mobility program(s)'!E266,"")</f>
        <v/>
      </c>
      <c r="F55" s="699"/>
      <c r="G55" s="698" t="str">
        <f>IF('🚀 Mobility program(s)'!M360="yes",'🚀 Mobility program(s)'!E360,"")</f>
        <v/>
      </c>
      <c r="H55" s="700"/>
      <c r="I55" s="701" t="str">
        <f>IF('🚀 Mobility program(s)'!M454="yes",'🚀 Mobility program(s)'!E454,"")</f>
        <v/>
      </c>
      <c r="J55" s="700"/>
    </row>
    <row r="57">
      <c r="A57" s="702" t="s">
        <v>678</v>
      </c>
      <c r="B57" s="703"/>
      <c r="C57" s="703"/>
      <c r="D57" s="703"/>
      <c r="E57" s="703"/>
      <c r="F57" s="703"/>
      <c r="G57" s="703"/>
      <c r="H57" s="703"/>
      <c r="I57" s="703"/>
      <c r="J57" s="703"/>
      <c r="K57" s="703"/>
      <c r="L57" s="703"/>
      <c r="M57" s="703"/>
      <c r="N57" s="703"/>
      <c r="O57" s="704"/>
      <c r="P57" s="686"/>
      <c r="Q57" s="686"/>
      <c r="R57" s="686"/>
      <c r="S57" s="686"/>
      <c r="T57" s="686"/>
      <c r="U57" s="686"/>
      <c r="V57" s="686"/>
      <c r="W57" s="686"/>
      <c r="X57" s="686"/>
      <c r="Y57" s="686"/>
      <c r="Z57" s="686"/>
      <c r="AA57" s="686"/>
      <c r="AB57" s="686"/>
      <c r="AC57" s="686"/>
      <c r="AD57" s="686"/>
      <c r="AE57" s="686"/>
      <c r="AF57" s="686"/>
      <c r="AG57" s="686"/>
      <c r="AH57" s="686"/>
      <c r="AI57" s="686"/>
      <c r="AJ57" s="686"/>
      <c r="AK57" s="686"/>
      <c r="AL57" s="686"/>
      <c r="AM57" s="686"/>
      <c r="AN57" s="686"/>
      <c r="AO57" s="686"/>
      <c r="AP57" s="686"/>
      <c r="AQ57" s="686"/>
      <c r="AR57" s="686"/>
      <c r="AS57" s="686"/>
      <c r="AT57" s="686"/>
      <c r="AU57" s="686"/>
      <c r="AV57" s="686"/>
      <c r="AW57" s="686"/>
      <c r="AX57" s="686"/>
      <c r="AY57" s="686"/>
      <c r="AZ57" s="686"/>
      <c r="BA57" s="686"/>
      <c r="BB57" s="686"/>
      <c r="BC57" s="686"/>
      <c r="BD57" s="686"/>
      <c r="BE57" s="686"/>
      <c r="BF57" s="686"/>
      <c r="BG57" s="686"/>
      <c r="BH57" s="686"/>
      <c r="BI57" s="686"/>
      <c r="BJ57" s="686"/>
      <c r="BK57" s="686"/>
      <c r="BL57" s="686"/>
      <c r="BM57" s="686"/>
      <c r="BN57" s="686"/>
      <c r="BO57" s="686"/>
      <c r="BP57" s="686"/>
      <c r="BQ57" s="686"/>
      <c r="BR57" s="686"/>
      <c r="BS57" s="686"/>
      <c r="BT57" s="686"/>
      <c r="BU57" s="686"/>
      <c r="BV57" s="686"/>
      <c r="BW57" s="686"/>
      <c r="BX57" s="686"/>
      <c r="BY57" s="686"/>
      <c r="BZ57" s="686"/>
      <c r="CA57" s="686"/>
      <c r="CB57" s="686"/>
      <c r="CC57" s="686"/>
      <c r="CD57" s="686"/>
      <c r="CE57" s="686"/>
      <c r="CF57" s="686"/>
      <c r="CG57" s="686"/>
      <c r="CH57" s="686"/>
      <c r="CI57" s="686"/>
      <c r="CJ57" s="686"/>
      <c r="CK57" s="686"/>
      <c r="CL57" s="686"/>
      <c r="CM57" s="686"/>
      <c r="CN57" s="686"/>
      <c r="CO57" s="686"/>
      <c r="CP57" s="686"/>
      <c r="CQ57" s="686"/>
      <c r="CR57" s="686"/>
      <c r="CS57" s="686"/>
      <c r="CT57" s="686"/>
      <c r="CU57" s="686"/>
      <c r="CV57" s="686"/>
      <c r="CW57" s="686"/>
      <c r="CX57" s="686"/>
      <c r="CY57" s="686"/>
      <c r="CZ57" s="686"/>
      <c r="DA57" s="686"/>
      <c r="DB57" s="686"/>
      <c r="DC57" s="686"/>
      <c r="DD57" s="686"/>
      <c r="DE57" s="686"/>
      <c r="DF57" s="686"/>
      <c r="DG57" s="686"/>
      <c r="DH57" s="686"/>
      <c r="DI57" s="686"/>
      <c r="DJ57" s="686"/>
      <c r="DK57" s="686"/>
      <c r="DL57" s="686"/>
      <c r="DM57" s="686"/>
      <c r="DN57" s="686"/>
      <c r="DO57" s="686"/>
      <c r="DP57" s="686"/>
      <c r="DQ57" s="686"/>
      <c r="DR57" s="686"/>
      <c r="DS57" s="686"/>
      <c r="DT57" s="686"/>
      <c r="DU57" s="686"/>
      <c r="DV57" s="686"/>
      <c r="DW57" s="686"/>
      <c r="DX57" s="686"/>
    </row>
    <row r="58">
      <c r="A58" s="620" t="s">
        <v>591</v>
      </c>
      <c r="B58" s="620" t="s">
        <v>592</v>
      </c>
      <c r="C58" s="620" t="s">
        <v>79</v>
      </c>
      <c r="D58" s="620" t="s">
        <v>593</v>
      </c>
      <c r="E58" s="620" t="s">
        <v>594</v>
      </c>
      <c r="F58" s="620" t="s">
        <v>595</v>
      </c>
      <c r="G58" s="620" t="s">
        <v>596</v>
      </c>
      <c r="H58" s="621" t="s">
        <v>597</v>
      </c>
      <c r="I58" s="620" t="s">
        <v>598</v>
      </c>
      <c r="J58" s="620" t="s">
        <v>599</v>
      </c>
      <c r="K58" s="620" t="s">
        <v>600</v>
      </c>
      <c r="L58" s="620" t="s">
        <v>601</v>
      </c>
      <c r="M58" s="620" t="s">
        <v>602</v>
      </c>
      <c r="N58" s="621" t="s">
        <v>603</v>
      </c>
      <c r="O58" s="620" t="s">
        <v>604</v>
      </c>
      <c r="P58" s="620" t="s">
        <v>605</v>
      </c>
      <c r="Q58" s="620" t="s">
        <v>606</v>
      </c>
      <c r="R58" s="620" t="s">
        <v>607</v>
      </c>
      <c r="S58" s="620" t="s">
        <v>608</v>
      </c>
      <c r="T58" s="620" t="s">
        <v>609</v>
      </c>
      <c r="U58" s="621" t="s">
        <v>610</v>
      </c>
      <c r="V58" s="620" t="s">
        <v>611</v>
      </c>
      <c r="W58" s="620" t="s">
        <v>612</v>
      </c>
      <c r="X58" s="620" t="s">
        <v>613</v>
      </c>
      <c r="Y58" s="558"/>
      <c r="Z58" s="558"/>
      <c r="AA58" s="558"/>
      <c r="AB58" s="558"/>
      <c r="AC58" s="558"/>
      <c r="AD58" s="558"/>
      <c r="AE58" s="558"/>
      <c r="AF58" s="558"/>
      <c r="AG58" s="558"/>
      <c r="AH58" s="558"/>
      <c r="AI58" s="558"/>
      <c r="AJ58" s="558"/>
      <c r="AK58" s="558"/>
      <c r="AL58" s="558"/>
      <c r="AM58" s="558"/>
      <c r="AN58" s="558"/>
      <c r="AO58" s="558"/>
      <c r="AP58" s="558"/>
      <c r="AQ58" s="558"/>
      <c r="AR58" s="558"/>
      <c r="AS58" s="558"/>
      <c r="AT58" s="558"/>
      <c r="AU58" s="558"/>
      <c r="AV58" s="558"/>
      <c r="AW58" s="558"/>
      <c r="AX58" s="558"/>
      <c r="AY58" s="558"/>
      <c r="AZ58" s="558"/>
      <c r="BA58" s="558"/>
      <c r="BB58" s="558"/>
      <c r="BC58" s="558"/>
      <c r="BD58" s="558"/>
      <c r="BE58" s="558"/>
      <c r="BF58" s="558"/>
      <c r="BG58" s="558"/>
      <c r="BH58" s="558"/>
      <c r="BI58" s="558"/>
      <c r="BJ58" s="558"/>
      <c r="BK58" s="558"/>
      <c r="BL58" s="558"/>
      <c r="BM58" s="558"/>
      <c r="BN58" s="558"/>
      <c r="BO58" s="558"/>
      <c r="BP58" s="558"/>
      <c r="BQ58" s="558"/>
      <c r="BR58" s="558"/>
      <c r="BS58" s="558"/>
      <c r="BT58" s="558"/>
      <c r="BU58" s="558"/>
      <c r="BV58" s="558"/>
      <c r="BW58" s="558"/>
      <c r="BX58" s="558"/>
      <c r="BY58" s="558"/>
      <c r="BZ58" s="558"/>
      <c r="CA58" s="558"/>
      <c r="CB58" s="558"/>
      <c r="CC58" s="558"/>
      <c r="CD58" s="558"/>
      <c r="CE58" s="558"/>
      <c r="CF58" s="558"/>
      <c r="CG58" s="558"/>
      <c r="CH58" s="558"/>
      <c r="CI58" s="558"/>
      <c r="CJ58" s="558"/>
      <c r="CK58" s="558"/>
      <c r="CL58" s="558"/>
      <c r="CM58" s="558"/>
      <c r="CN58" s="558"/>
      <c r="CO58" s="558"/>
      <c r="CP58" s="558"/>
      <c r="CQ58" s="558"/>
      <c r="CR58" s="558"/>
      <c r="CS58" s="558"/>
      <c r="CT58" s="558"/>
      <c r="CU58" s="558"/>
      <c r="CV58" s="558"/>
      <c r="CW58" s="558"/>
      <c r="CX58" s="558"/>
      <c r="CY58" s="558"/>
      <c r="CZ58" s="558"/>
      <c r="DA58" s="558"/>
      <c r="DB58" s="558"/>
      <c r="DC58" s="558"/>
      <c r="DD58" s="558"/>
      <c r="DE58" s="558"/>
      <c r="DF58" s="558"/>
      <c r="DG58" s="558"/>
      <c r="DH58" s="558"/>
      <c r="DI58" s="558"/>
      <c r="DJ58" s="558"/>
      <c r="DK58" s="558"/>
      <c r="DL58" s="558"/>
      <c r="DM58" s="558"/>
      <c r="DN58" s="558"/>
      <c r="DO58" s="558"/>
      <c r="DP58" s="558"/>
      <c r="DQ58" s="558"/>
      <c r="DR58" s="558"/>
      <c r="DS58" s="558"/>
      <c r="DT58" s="558"/>
      <c r="DU58" s="558"/>
      <c r="DV58" s="558"/>
      <c r="DW58" s="558"/>
      <c r="DX58" s="558"/>
    </row>
    <row r="59">
      <c r="A59" s="686" t="str">
        <f>IF('🤝 Client information'!Q112,"",IF('🤝 Client information'!K112="yes",'🤝 Client information'!C112,""))</f>
        <v/>
      </c>
      <c r="B59" s="686" t="str">
        <f>IF('🤝 Client information'!Q112,"",IF('🤝 Client information'!K112="yes",'🤝 Client information'!D112,""))</f>
        <v/>
      </c>
      <c r="C59" s="705" t="str">
        <f>IF('🤝 Client information'!Q112,"",IF('🤝 Client information'!K112="yes",'🤝 Client information'!F112,""))</f>
        <v/>
      </c>
      <c r="D59" s="686"/>
      <c r="E59" s="686"/>
      <c r="F59" s="686" t="str">
        <f>IF('🤝 Client information'!Q112,"",IF('🤝 Client information'!K112="yes",'🤝 Client information'!I112,""))</f>
        <v/>
      </c>
      <c r="G59" s="686" t="str">
        <f>IF('🤝 Client information'!Q112,"",IF('🤝 Client information'!K112="yes",'🤝 Client information'!J112,""))</f>
        <v/>
      </c>
      <c r="H59" s="686"/>
      <c r="I59" s="686"/>
      <c r="J59" s="686"/>
      <c r="K59" s="686"/>
      <c r="L59" s="686"/>
      <c r="M59" s="706" t="str">
        <f>IF('🤝 Client information'!Q112, "", IF(AND('🤝 Client information'!K112="yes", '🤝 Client information'!N112="yes"), "EMPLOYEE", IF(AND('🤝 Client information'!K112="yes", '🤝 Client information'!N112="no", '🤝 Client information'!H112="Finance &amp; Accounting"), "CONTROLLER", IF(AND('🤝 Client information'!K112="yes", '🤝 Client information'!N112="no", '🤝 Client information'!H112&lt;&gt;"Finance &amp; Accounting"), "FLEET_MGR", ""))))</f>
        <v/>
      </c>
      <c r="N59" s="707" t="str">
        <f t="shared" ref="N59:N73" si="1">IF(A59&lt;&gt;"",TODAY(),"")</f>
        <v/>
      </c>
      <c r="O59" s="686"/>
      <c r="P59" s="686"/>
      <c r="Q59" s="686"/>
      <c r="R59" s="686"/>
      <c r="S59" s="686" t="str">
        <f t="shared" ref="S59:S73" si="2">IF(A59&lt;&gt;"","yes","")</f>
        <v/>
      </c>
      <c r="T59" s="686"/>
      <c r="U59" s="707" t="str">
        <f t="shared" ref="U59:U73" si="3">IF(A59&lt;&gt;"",TODAY(),"")</f>
        <v/>
      </c>
      <c r="V59" s="686"/>
      <c r="W59" s="686"/>
      <c r="X59" s="686"/>
      <c r="Y59" s="686"/>
      <c r="Z59" s="686"/>
      <c r="AA59" s="686"/>
      <c r="AB59" s="686"/>
      <c r="AC59" s="686"/>
      <c r="AD59" s="686"/>
      <c r="AE59" s="686"/>
      <c r="AF59" s="686"/>
      <c r="AG59" s="686"/>
      <c r="AH59" s="686"/>
      <c r="AI59" s="686"/>
      <c r="AJ59" s="686"/>
      <c r="AK59" s="686"/>
      <c r="AL59" s="686"/>
      <c r="AM59" s="686"/>
      <c r="AN59" s="686"/>
      <c r="AO59" s="686"/>
      <c r="AP59" s="686"/>
      <c r="AQ59" s="686"/>
      <c r="AR59" s="686"/>
      <c r="AS59" s="686"/>
      <c r="AT59" s="686"/>
      <c r="AU59" s="686"/>
      <c r="AV59" s="686"/>
      <c r="AW59" s="686"/>
      <c r="AX59" s="686"/>
      <c r="AY59" s="686"/>
      <c r="AZ59" s="686"/>
      <c r="BA59" s="686"/>
      <c r="BB59" s="686"/>
      <c r="BC59" s="686"/>
      <c r="BD59" s="686"/>
      <c r="BE59" s="686"/>
      <c r="BF59" s="686"/>
      <c r="BG59" s="686"/>
      <c r="BH59" s="686"/>
      <c r="BI59" s="686"/>
      <c r="BJ59" s="686"/>
      <c r="BK59" s="686"/>
      <c r="BL59" s="686"/>
      <c r="BM59" s="686"/>
      <c r="BN59" s="686"/>
      <c r="BO59" s="686"/>
      <c r="BP59" s="686"/>
      <c r="BQ59" s="686"/>
      <c r="BR59" s="686"/>
      <c r="BS59" s="686"/>
      <c r="BT59" s="686"/>
      <c r="BU59" s="686"/>
      <c r="BV59" s="686"/>
      <c r="BW59" s="686"/>
      <c r="BX59" s="686"/>
      <c r="BY59" s="686"/>
      <c r="BZ59" s="686"/>
      <c r="CA59" s="686"/>
      <c r="CB59" s="686"/>
      <c r="CC59" s="686"/>
      <c r="CD59" s="686"/>
      <c r="CE59" s="686"/>
      <c r="CF59" s="686"/>
      <c r="CG59" s="686"/>
      <c r="CH59" s="686"/>
      <c r="CI59" s="686"/>
      <c r="CJ59" s="686"/>
      <c r="CK59" s="686"/>
      <c r="CL59" s="686"/>
      <c r="CM59" s="686"/>
      <c r="CN59" s="686"/>
      <c r="CO59" s="686"/>
      <c r="CP59" s="686"/>
      <c r="CQ59" s="686"/>
      <c r="CR59" s="686"/>
      <c r="CS59" s="686"/>
      <c r="CT59" s="686"/>
      <c r="CU59" s="686"/>
      <c r="CV59" s="686"/>
      <c r="CW59" s="686"/>
      <c r="CX59" s="686"/>
      <c r="CY59" s="686"/>
      <c r="CZ59" s="686"/>
      <c r="DA59" s="686"/>
      <c r="DB59" s="686"/>
      <c r="DC59" s="686"/>
      <c r="DD59" s="686"/>
      <c r="DE59" s="686"/>
      <c r="DF59" s="686"/>
      <c r="DG59" s="686"/>
      <c r="DH59" s="686"/>
      <c r="DI59" s="686"/>
      <c r="DJ59" s="686"/>
      <c r="DK59" s="686"/>
      <c r="DL59" s="686"/>
      <c r="DM59" s="686"/>
      <c r="DN59" s="686"/>
      <c r="DO59" s="686"/>
      <c r="DP59" s="686"/>
      <c r="DQ59" s="686"/>
      <c r="DR59" s="686"/>
      <c r="DS59" s="686"/>
      <c r="DT59" s="686"/>
      <c r="DU59" s="686"/>
      <c r="DV59" s="686"/>
      <c r="DW59" s="686"/>
      <c r="DX59" s="686"/>
    </row>
    <row r="60">
      <c r="A60" s="686" t="str">
        <f>IF('🤝 Client information'!Q113,"",IF('🤝 Client information'!K113="yes",'🤝 Client information'!C113,""))</f>
        <v/>
      </c>
      <c r="B60" s="686" t="str">
        <f>IF('🤝 Client information'!Q113,"",IF('🤝 Client information'!K113="yes",'🤝 Client information'!D113,""))</f>
        <v/>
      </c>
      <c r="C60" s="705" t="str">
        <f>IF('🤝 Client information'!Q113,"",IF('🤝 Client information'!K113="yes",'🤝 Client information'!F113,""))</f>
        <v/>
      </c>
      <c r="D60" s="686"/>
      <c r="E60" s="686"/>
      <c r="F60" s="686" t="str">
        <f>IF('🤝 Client information'!Q113,"",IF('🤝 Client information'!K113="yes",'🤝 Client information'!I113,""))</f>
        <v/>
      </c>
      <c r="G60" s="686" t="str">
        <f>IF('🤝 Client information'!Q113,"",IF('🤝 Client information'!K113="yes",'🤝 Client information'!J113,""))</f>
        <v/>
      </c>
      <c r="H60" s="686"/>
      <c r="I60" s="686"/>
      <c r="J60" s="686"/>
      <c r="K60" s="686"/>
      <c r="L60" s="686"/>
      <c r="M60" s="706" t="str">
        <f>IF('🤝 Client information'!Q113, "", IF(AND('🤝 Client information'!K113="yes", '🤝 Client information'!N113="yes"), "EMPLOYEE", IF(AND('🤝 Client information'!K113="yes", '🤝 Client information'!N113="no", '🤝 Client information'!H113="Finance &amp; Accounting"), "CONTROLLER", IF(AND('🤝 Client information'!K113="yes", '🤝 Client information'!N113="no", '🤝 Client information'!H113&lt;&gt;"Finance &amp; Accounting"), "FLEET_MGR", ""))))</f>
        <v/>
      </c>
      <c r="N60" s="707" t="str">
        <f t="shared" si="1"/>
        <v/>
      </c>
      <c r="O60" s="686"/>
      <c r="P60" s="686"/>
      <c r="Q60" s="686"/>
      <c r="R60" s="686"/>
      <c r="S60" s="686" t="str">
        <f t="shared" si="2"/>
        <v/>
      </c>
      <c r="T60" s="686"/>
      <c r="U60" s="707" t="str">
        <f t="shared" si="3"/>
        <v/>
      </c>
      <c r="V60" s="686"/>
      <c r="W60" s="686"/>
      <c r="X60" s="686"/>
      <c r="Y60" s="686"/>
      <c r="Z60" s="686"/>
      <c r="AA60" s="686"/>
      <c r="AB60" s="686"/>
      <c r="AC60" s="686"/>
      <c r="AD60" s="686"/>
      <c r="AE60" s="686"/>
      <c r="AF60" s="686"/>
      <c r="AG60" s="686"/>
      <c r="AH60" s="686"/>
      <c r="AI60" s="686"/>
      <c r="AJ60" s="686"/>
      <c r="AK60" s="686"/>
      <c r="AL60" s="686"/>
      <c r="AM60" s="686"/>
      <c r="AN60" s="686"/>
      <c r="AO60" s="686"/>
      <c r="AP60" s="686"/>
      <c r="AQ60" s="686"/>
      <c r="AR60" s="686"/>
      <c r="AS60" s="686"/>
      <c r="AT60" s="686"/>
      <c r="AU60" s="686"/>
      <c r="AV60" s="686"/>
      <c r="AW60" s="686"/>
      <c r="AX60" s="686"/>
      <c r="AY60" s="686"/>
      <c r="AZ60" s="686"/>
      <c r="BA60" s="686"/>
      <c r="BB60" s="686"/>
      <c r="BC60" s="686"/>
      <c r="BD60" s="686"/>
      <c r="BE60" s="686"/>
      <c r="BF60" s="686"/>
      <c r="BG60" s="686"/>
      <c r="BH60" s="686"/>
      <c r="BI60" s="686"/>
      <c r="BJ60" s="686"/>
      <c r="BK60" s="686"/>
      <c r="BL60" s="686"/>
      <c r="BM60" s="686"/>
      <c r="BN60" s="686"/>
      <c r="BO60" s="686"/>
      <c r="BP60" s="686"/>
      <c r="BQ60" s="686"/>
      <c r="BR60" s="686"/>
      <c r="BS60" s="686"/>
      <c r="BT60" s="686"/>
      <c r="BU60" s="686"/>
      <c r="BV60" s="686"/>
      <c r="BW60" s="686"/>
      <c r="BX60" s="686"/>
      <c r="BY60" s="686"/>
      <c r="BZ60" s="686"/>
      <c r="CA60" s="686"/>
      <c r="CB60" s="686"/>
      <c r="CC60" s="686"/>
      <c r="CD60" s="686"/>
      <c r="CE60" s="686"/>
      <c r="CF60" s="686"/>
      <c r="CG60" s="686"/>
      <c r="CH60" s="686"/>
      <c r="CI60" s="686"/>
      <c r="CJ60" s="686"/>
      <c r="CK60" s="686"/>
      <c r="CL60" s="686"/>
      <c r="CM60" s="686"/>
      <c r="CN60" s="686"/>
      <c r="CO60" s="686"/>
      <c r="CP60" s="686"/>
      <c r="CQ60" s="686"/>
      <c r="CR60" s="686"/>
      <c r="CS60" s="686"/>
      <c r="CT60" s="686"/>
      <c r="CU60" s="686"/>
      <c r="CV60" s="686"/>
      <c r="CW60" s="686"/>
      <c r="CX60" s="686"/>
      <c r="CY60" s="686"/>
      <c r="CZ60" s="686"/>
      <c r="DA60" s="686"/>
      <c r="DB60" s="686"/>
      <c r="DC60" s="686"/>
      <c r="DD60" s="686"/>
      <c r="DE60" s="686"/>
      <c r="DF60" s="686"/>
      <c r="DG60" s="686"/>
      <c r="DH60" s="686"/>
      <c r="DI60" s="686"/>
      <c r="DJ60" s="686"/>
      <c r="DK60" s="686"/>
      <c r="DL60" s="686"/>
      <c r="DM60" s="686"/>
      <c r="DN60" s="686"/>
      <c r="DO60" s="686"/>
      <c r="DP60" s="686"/>
      <c r="DQ60" s="686"/>
      <c r="DR60" s="686"/>
      <c r="DS60" s="686"/>
      <c r="DT60" s="686"/>
      <c r="DU60" s="686"/>
      <c r="DV60" s="686"/>
      <c r="DW60" s="686"/>
      <c r="DX60" s="686"/>
    </row>
    <row r="61">
      <c r="A61" s="686" t="str">
        <f>IF('🤝 Client information'!Q114,"",IF('🤝 Client information'!K114="yes",'🤝 Client information'!C114,""))</f>
        <v/>
      </c>
      <c r="B61" s="686" t="str">
        <f>IF('🤝 Client information'!Q114,"",IF('🤝 Client information'!K114="yes",'🤝 Client information'!D114,""))</f>
        <v/>
      </c>
      <c r="C61" s="705" t="str">
        <f>IF('🤝 Client information'!Q114,"",IF('🤝 Client information'!K114="yes",'🤝 Client information'!F114,""))</f>
        <v/>
      </c>
      <c r="D61" s="686"/>
      <c r="E61" s="686"/>
      <c r="F61" s="686" t="str">
        <f>IF('🤝 Client information'!Q114,"",IF('🤝 Client information'!K114="yes",'🤝 Client information'!I114,""))</f>
        <v/>
      </c>
      <c r="G61" s="686" t="str">
        <f>IF('🤝 Client information'!Q114,"",IF('🤝 Client information'!K114="yes",'🤝 Client information'!J114,""))</f>
        <v/>
      </c>
      <c r="H61" s="686"/>
      <c r="I61" s="686"/>
      <c r="J61" s="686"/>
      <c r="K61" s="686"/>
      <c r="L61" s="686"/>
      <c r="M61" s="706" t="str">
        <f>IF('🤝 Client information'!Q114, "", IF(AND('🤝 Client information'!K114="yes", '🤝 Client information'!N114="yes"), "EMPLOYEE", IF(AND('🤝 Client information'!K114="yes", '🤝 Client information'!N114="no", '🤝 Client information'!H114="Finance &amp; Accounting"), "CONTROLLER", IF(AND('🤝 Client information'!K114="yes", '🤝 Client information'!N114="no", '🤝 Client information'!H114&lt;&gt;"Finance &amp; Accounting"), "FLEET_MGR", ""))))</f>
        <v/>
      </c>
      <c r="N61" s="707" t="str">
        <f t="shared" si="1"/>
        <v/>
      </c>
      <c r="O61" s="686"/>
      <c r="P61" s="686"/>
      <c r="Q61" s="686"/>
      <c r="R61" s="686"/>
      <c r="S61" s="686" t="str">
        <f t="shared" si="2"/>
        <v/>
      </c>
      <c r="T61" s="686"/>
      <c r="U61" s="707" t="str">
        <f t="shared" si="3"/>
        <v/>
      </c>
      <c r="V61" s="686"/>
      <c r="W61" s="686"/>
      <c r="X61" s="686"/>
      <c r="Y61" s="686"/>
      <c r="Z61" s="686"/>
      <c r="AA61" s="686"/>
      <c r="AB61" s="686"/>
      <c r="AC61" s="686"/>
      <c r="AD61" s="686"/>
      <c r="AE61" s="686"/>
      <c r="AF61" s="686"/>
      <c r="AG61" s="686"/>
      <c r="AH61" s="686"/>
      <c r="AI61" s="686"/>
      <c r="AJ61" s="686"/>
      <c r="AK61" s="686"/>
      <c r="AL61" s="686"/>
      <c r="AM61" s="686"/>
      <c r="AN61" s="686"/>
      <c r="AO61" s="686"/>
      <c r="AP61" s="686"/>
      <c r="AQ61" s="686"/>
      <c r="AR61" s="686"/>
      <c r="AS61" s="686"/>
      <c r="AT61" s="686"/>
      <c r="AU61" s="686"/>
      <c r="AV61" s="686"/>
      <c r="AW61" s="686"/>
      <c r="AX61" s="686"/>
      <c r="AY61" s="686"/>
      <c r="AZ61" s="686"/>
      <c r="BA61" s="686"/>
      <c r="BB61" s="686"/>
      <c r="BC61" s="686"/>
      <c r="BD61" s="686"/>
      <c r="BE61" s="686"/>
      <c r="BF61" s="686"/>
      <c r="BG61" s="686"/>
      <c r="BH61" s="686"/>
      <c r="BI61" s="686"/>
      <c r="BJ61" s="686"/>
      <c r="BK61" s="686"/>
      <c r="BL61" s="686"/>
      <c r="BM61" s="686"/>
      <c r="BN61" s="686"/>
      <c r="BO61" s="686"/>
      <c r="BP61" s="686"/>
      <c r="BQ61" s="686"/>
      <c r="BR61" s="686"/>
      <c r="BS61" s="686"/>
      <c r="BT61" s="686"/>
      <c r="BU61" s="686"/>
      <c r="BV61" s="686"/>
      <c r="BW61" s="686"/>
      <c r="BX61" s="686"/>
      <c r="BY61" s="686"/>
      <c r="BZ61" s="686"/>
      <c r="CA61" s="686"/>
      <c r="CB61" s="686"/>
      <c r="CC61" s="686"/>
      <c r="CD61" s="686"/>
      <c r="CE61" s="686"/>
      <c r="CF61" s="686"/>
      <c r="CG61" s="686"/>
      <c r="CH61" s="686"/>
      <c r="CI61" s="686"/>
      <c r="CJ61" s="686"/>
      <c r="CK61" s="686"/>
      <c r="CL61" s="686"/>
      <c r="CM61" s="686"/>
      <c r="CN61" s="686"/>
      <c r="CO61" s="686"/>
      <c r="CP61" s="686"/>
      <c r="CQ61" s="686"/>
      <c r="CR61" s="686"/>
      <c r="CS61" s="686"/>
      <c r="CT61" s="686"/>
      <c r="CU61" s="686"/>
      <c r="CV61" s="686"/>
      <c r="CW61" s="686"/>
      <c r="CX61" s="686"/>
      <c r="CY61" s="686"/>
      <c r="CZ61" s="686"/>
      <c r="DA61" s="686"/>
      <c r="DB61" s="686"/>
      <c r="DC61" s="686"/>
      <c r="DD61" s="686"/>
      <c r="DE61" s="686"/>
      <c r="DF61" s="686"/>
      <c r="DG61" s="686"/>
      <c r="DH61" s="686"/>
      <c r="DI61" s="686"/>
      <c r="DJ61" s="686"/>
      <c r="DK61" s="686"/>
      <c r="DL61" s="686"/>
      <c r="DM61" s="686"/>
      <c r="DN61" s="686"/>
      <c r="DO61" s="686"/>
      <c r="DP61" s="686"/>
      <c r="DQ61" s="686"/>
      <c r="DR61" s="686"/>
      <c r="DS61" s="686"/>
      <c r="DT61" s="686"/>
      <c r="DU61" s="686"/>
      <c r="DV61" s="686"/>
      <c r="DW61" s="686"/>
      <c r="DX61" s="686"/>
    </row>
    <row r="62">
      <c r="A62" s="686" t="str">
        <f>IF('🤝 Client information'!Q115,"",IF('🤝 Client information'!K115="yes",'🤝 Client information'!C115,""))</f>
        <v/>
      </c>
      <c r="B62" s="686" t="str">
        <f>IF('🤝 Client information'!Q115,"",IF('🤝 Client information'!K115="yes",'🤝 Client information'!D115,""))</f>
        <v/>
      </c>
      <c r="C62" s="686" t="str">
        <f>IF('🤝 Client information'!Q115,"",IF('🤝 Client information'!K115="yes",'🤝 Client information'!F115,""))</f>
        <v/>
      </c>
      <c r="D62" s="686"/>
      <c r="E62" s="686"/>
      <c r="F62" s="686" t="str">
        <f>IF('🤝 Client information'!Q115,"",IF('🤝 Client information'!K115="yes",'🤝 Client information'!I115,""))</f>
        <v/>
      </c>
      <c r="G62" s="686" t="str">
        <f>IF('🤝 Client information'!Q115,"",IF('🤝 Client information'!K115="yes",'🤝 Client information'!J115,""))</f>
        <v/>
      </c>
      <c r="H62" s="686"/>
      <c r="I62" s="686"/>
      <c r="J62" s="686"/>
      <c r="K62" s="686"/>
      <c r="L62" s="686"/>
      <c r="M62" s="708" t="str">
        <f>IF('🤝 Client information'!Q115, "", IF(AND('🤝 Client information'!K115="yes", '🤝 Client information'!N115="yes"), "EMPLOYEE", IF(AND('🤝 Client information'!K115="yes", '🤝 Client information'!N115="no", '🤝 Client information'!H115="Finance &amp; Accounting"), "CONTROLLER", IF(AND('🤝 Client information'!K115="yes", '🤝 Client information'!N115="no", '🤝 Client information'!H115&lt;&gt;"Finance &amp; Accounting"), "FLEET_MGR", ""))))</f>
        <v/>
      </c>
      <c r="N62" s="709" t="str">
        <f t="shared" si="1"/>
        <v/>
      </c>
      <c r="O62" s="686"/>
      <c r="P62" s="686"/>
      <c r="Q62" s="686"/>
      <c r="R62" s="686"/>
      <c r="S62" s="686" t="str">
        <f t="shared" si="2"/>
        <v/>
      </c>
      <c r="T62" s="686"/>
      <c r="U62" s="709" t="str">
        <f t="shared" si="3"/>
        <v/>
      </c>
      <c r="V62" s="686"/>
      <c r="W62" s="686"/>
      <c r="X62" s="686"/>
      <c r="Y62" s="686"/>
      <c r="Z62" s="686"/>
      <c r="AA62" s="686"/>
      <c r="AB62" s="686"/>
      <c r="AC62" s="686"/>
      <c r="AD62" s="686"/>
      <c r="AE62" s="686"/>
      <c r="AF62" s="686"/>
      <c r="AG62" s="686"/>
      <c r="AH62" s="686"/>
      <c r="AI62" s="686"/>
      <c r="AJ62" s="686"/>
      <c r="AK62" s="686"/>
      <c r="AL62" s="686"/>
      <c r="AM62" s="686"/>
      <c r="AN62" s="686"/>
      <c r="AO62" s="686"/>
      <c r="AP62" s="686"/>
      <c r="AQ62" s="686"/>
      <c r="AR62" s="686"/>
      <c r="AS62" s="686"/>
      <c r="AT62" s="686"/>
      <c r="AU62" s="686"/>
      <c r="AV62" s="686"/>
      <c r="AW62" s="686"/>
      <c r="AX62" s="686"/>
      <c r="AY62" s="686"/>
      <c r="AZ62" s="686"/>
      <c r="BA62" s="686"/>
      <c r="BB62" s="686"/>
      <c r="BC62" s="686"/>
      <c r="BD62" s="686"/>
      <c r="BE62" s="686"/>
      <c r="BF62" s="686"/>
      <c r="BG62" s="686"/>
      <c r="BH62" s="686"/>
      <c r="BI62" s="686"/>
      <c r="BJ62" s="686"/>
      <c r="BK62" s="686"/>
      <c r="BL62" s="686"/>
      <c r="BM62" s="686"/>
      <c r="BN62" s="686"/>
      <c r="BO62" s="686"/>
      <c r="BP62" s="686"/>
      <c r="BQ62" s="686"/>
      <c r="BR62" s="686"/>
      <c r="BS62" s="686"/>
      <c r="BT62" s="686"/>
      <c r="BU62" s="686"/>
      <c r="BV62" s="686"/>
      <c r="BW62" s="686"/>
      <c r="BX62" s="686"/>
      <c r="BY62" s="686"/>
      <c r="BZ62" s="686"/>
      <c r="CA62" s="686"/>
      <c r="CB62" s="686"/>
      <c r="CC62" s="686"/>
      <c r="CD62" s="686"/>
      <c r="CE62" s="686"/>
      <c r="CF62" s="686"/>
      <c r="CG62" s="686"/>
      <c r="CH62" s="686"/>
      <c r="CI62" s="686"/>
      <c r="CJ62" s="686"/>
      <c r="CK62" s="686"/>
      <c r="CL62" s="686"/>
      <c r="CM62" s="686"/>
      <c r="CN62" s="686"/>
      <c r="CO62" s="686"/>
      <c r="CP62" s="686"/>
      <c r="CQ62" s="686"/>
      <c r="CR62" s="686"/>
      <c r="CS62" s="686"/>
      <c r="CT62" s="686"/>
      <c r="CU62" s="686"/>
      <c r="CV62" s="686"/>
      <c r="CW62" s="686"/>
      <c r="CX62" s="686"/>
      <c r="CY62" s="686"/>
      <c r="CZ62" s="686"/>
      <c r="DA62" s="686"/>
      <c r="DB62" s="686"/>
      <c r="DC62" s="686"/>
      <c r="DD62" s="686"/>
      <c r="DE62" s="686"/>
      <c r="DF62" s="686"/>
      <c r="DG62" s="686"/>
      <c r="DH62" s="686"/>
      <c r="DI62" s="686"/>
      <c r="DJ62" s="686"/>
      <c r="DK62" s="686"/>
      <c r="DL62" s="686"/>
      <c r="DM62" s="686"/>
      <c r="DN62" s="686"/>
      <c r="DO62" s="686"/>
      <c r="DP62" s="686"/>
      <c r="DQ62" s="686"/>
      <c r="DR62" s="686"/>
      <c r="DS62" s="686"/>
      <c r="DT62" s="686"/>
      <c r="DU62" s="686"/>
      <c r="DV62" s="686"/>
      <c r="DW62" s="686"/>
      <c r="DX62" s="686"/>
    </row>
    <row r="63">
      <c r="A63" s="686" t="str">
        <f>IF('🤝 Client information'!Q116,"",IF('🤝 Client information'!K116="yes",'🤝 Client information'!C116,""))</f>
        <v/>
      </c>
      <c r="B63" s="686" t="str">
        <f>IF('🤝 Client information'!Q116,"",IF('🤝 Client information'!K116="yes",'🤝 Client information'!D116,""))</f>
        <v/>
      </c>
      <c r="C63" s="686" t="str">
        <f>IF('🤝 Client information'!Q116,"",IF('🤝 Client information'!K116="yes",'🤝 Client information'!F116,""))</f>
        <v/>
      </c>
      <c r="D63" s="686"/>
      <c r="E63" s="686"/>
      <c r="F63" s="686" t="str">
        <f>IF('🤝 Client information'!Q116,"",IF('🤝 Client information'!K116="yes",'🤝 Client information'!I116,""))</f>
        <v/>
      </c>
      <c r="G63" s="686" t="str">
        <f>IF('🤝 Client information'!Q116,"",IF('🤝 Client information'!K116="yes",'🤝 Client information'!J116,""))</f>
        <v/>
      </c>
      <c r="H63" s="686"/>
      <c r="I63" s="686"/>
      <c r="J63" s="686"/>
      <c r="K63" s="686"/>
      <c r="L63" s="686"/>
      <c r="M63" s="708" t="str">
        <f>IF('🤝 Client information'!Q116, "", IF(AND('🤝 Client information'!K116="yes", '🤝 Client information'!N116="yes"), "EMPLOYEE", IF(AND('🤝 Client information'!K116="yes", '🤝 Client information'!N116="no", '🤝 Client information'!H116="Finance &amp; Accounting"), "CONTROLLER", IF(AND('🤝 Client information'!K116="yes", '🤝 Client information'!N116="no", '🤝 Client information'!H116&lt;&gt;"Finance &amp; Accounting"), "FLEET_MGR", ""))))</f>
        <v/>
      </c>
      <c r="N63" s="709" t="str">
        <f t="shared" si="1"/>
        <v/>
      </c>
      <c r="O63" s="686"/>
      <c r="P63" s="686"/>
      <c r="Q63" s="686"/>
      <c r="R63" s="686"/>
      <c r="S63" s="686" t="str">
        <f t="shared" si="2"/>
        <v/>
      </c>
      <c r="T63" s="686"/>
      <c r="U63" s="709" t="str">
        <f t="shared" si="3"/>
        <v/>
      </c>
      <c r="V63" s="686"/>
      <c r="W63" s="686"/>
      <c r="X63" s="686"/>
      <c r="Y63" s="686"/>
      <c r="Z63" s="686"/>
      <c r="AA63" s="686"/>
      <c r="AB63" s="686"/>
      <c r="AC63" s="686"/>
      <c r="AD63" s="686"/>
      <c r="AE63" s="686"/>
      <c r="AF63" s="686"/>
      <c r="AG63" s="686"/>
      <c r="AH63" s="686"/>
      <c r="AI63" s="686"/>
      <c r="AJ63" s="686"/>
      <c r="AK63" s="686"/>
      <c r="AL63" s="686"/>
      <c r="AM63" s="686"/>
      <c r="AN63" s="686"/>
      <c r="AO63" s="686"/>
      <c r="AP63" s="686"/>
      <c r="AQ63" s="686"/>
      <c r="AR63" s="686"/>
      <c r="AS63" s="686"/>
      <c r="AT63" s="686"/>
      <c r="AU63" s="686"/>
      <c r="AV63" s="686"/>
      <c r="AW63" s="686"/>
      <c r="AX63" s="686"/>
      <c r="AY63" s="686"/>
      <c r="AZ63" s="686"/>
      <c r="BA63" s="686"/>
      <c r="BB63" s="686"/>
      <c r="BC63" s="686"/>
      <c r="BD63" s="686"/>
      <c r="BE63" s="686"/>
      <c r="BF63" s="686"/>
      <c r="BG63" s="686"/>
      <c r="BH63" s="686"/>
      <c r="BI63" s="686"/>
      <c r="BJ63" s="686"/>
      <c r="BK63" s="686"/>
      <c r="BL63" s="686"/>
      <c r="BM63" s="686"/>
      <c r="BN63" s="686"/>
      <c r="BO63" s="686"/>
      <c r="BP63" s="686"/>
      <c r="BQ63" s="686"/>
      <c r="BR63" s="686"/>
      <c r="BS63" s="686"/>
      <c r="BT63" s="686"/>
      <c r="BU63" s="686"/>
      <c r="BV63" s="686"/>
      <c r="BW63" s="686"/>
      <c r="BX63" s="686"/>
      <c r="BY63" s="686"/>
      <c r="BZ63" s="686"/>
      <c r="CA63" s="686"/>
      <c r="CB63" s="686"/>
      <c r="CC63" s="686"/>
      <c r="CD63" s="686"/>
      <c r="CE63" s="686"/>
      <c r="CF63" s="686"/>
      <c r="CG63" s="686"/>
      <c r="CH63" s="686"/>
      <c r="CI63" s="686"/>
      <c r="CJ63" s="686"/>
      <c r="CK63" s="686"/>
      <c r="CL63" s="686"/>
      <c r="CM63" s="686"/>
      <c r="CN63" s="686"/>
      <c r="CO63" s="686"/>
      <c r="CP63" s="686"/>
      <c r="CQ63" s="686"/>
      <c r="CR63" s="686"/>
      <c r="CS63" s="686"/>
      <c r="CT63" s="686"/>
      <c r="CU63" s="686"/>
      <c r="CV63" s="686"/>
      <c r="CW63" s="686"/>
      <c r="CX63" s="686"/>
      <c r="CY63" s="686"/>
      <c r="CZ63" s="686"/>
      <c r="DA63" s="686"/>
      <c r="DB63" s="686"/>
      <c r="DC63" s="686"/>
      <c r="DD63" s="686"/>
      <c r="DE63" s="686"/>
      <c r="DF63" s="686"/>
      <c r="DG63" s="686"/>
      <c r="DH63" s="686"/>
      <c r="DI63" s="686"/>
      <c r="DJ63" s="686"/>
      <c r="DK63" s="686"/>
      <c r="DL63" s="686"/>
      <c r="DM63" s="686"/>
      <c r="DN63" s="686"/>
      <c r="DO63" s="686"/>
      <c r="DP63" s="686"/>
      <c r="DQ63" s="686"/>
      <c r="DR63" s="686"/>
      <c r="DS63" s="686"/>
      <c r="DT63" s="686"/>
      <c r="DU63" s="686"/>
      <c r="DV63" s="686"/>
      <c r="DW63" s="686"/>
      <c r="DX63" s="686"/>
    </row>
    <row r="64">
      <c r="A64" s="686" t="str">
        <f>IF('🤝 Client information'!Q117,"",IF('🤝 Client information'!K117="yes",'🤝 Client information'!C117,""))</f>
        <v/>
      </c>
      <c r="B64" s="686" t="str">
        <f>IF('🤝 Client information'!Q117,"",IF('🤝 Client information'!K117="yes",'🤝 Client information'!D117,""))</f>
        <v/>
      </c>
      <c r="C64" s="686" t="str">
        <f>IF('🤝 Client information'!Q117,"",IF('🤝 Client information'!K117="yes",'🤝 Client information'!F117,""))</f>
        <v/>
      </c>
      <c r="D64" s="686"/>
      <c r="E64" s="686"/>
      <c r="F64" s="686" t="str">
        <f>IF('🤝 Client information'!Q117,"",IF('🤝 Client information'!K117="yes",'🤝 Client information'!I117,""))</f>
        <v/>
      </c>
      <c r="G64" s="686" t="str">
        <f>IF('🤝 Client information'!Q117,"",IF('🤝 Client information'!K117="yes",'🤝 Client information'!J117,""))</f>
        <v/>
      </c>
      <c r="H64" s="686"/>
      <c r="I64" s="686"/>
      <c r="J64" s="686"/>
      <c r="K64" s="686"/>
      <c r="L64" s="686"/>
      <c r="M64" s="708" t="str">
        <f>IF('🤝 Client information'!Q117, "", IF(AND('🤝 Client information'!K117="yes", '🤝 Client information'!N117="yes"), "EMPLOYEE", IF(AND('🤝 Client information'!K117="yes", '🤝 Client information'!N117="no", '🤝 Client information'!H117="Finance &amp; Accounting"), "CONTROLLER", IF(AND('🤝 Client information'!K117="yes", '🤝 Client information'!N117="no", '🤝 Client information'!H117&lt;&gt;"Finance &amp; Accounting"), "FLEET_MGR", ""))))</f>
        <v/>
      </c>
      <c r="N64" s="709" t="str">
        <f t="shared" si="1"/>
        <v/>
      </c>
      <c r="O64" s="686"/>
      <c r="P64" s="686"/>
      <c r="Q64" s="686"/>
      <c r="R64" s="686"/>
      <c r="S64" s="686" t="str">
        <f t="shared" si="2"/>
        <v/>
      </c>
      <c r="T64" s="686"/>
      <c r="U64" s="709" t="str">
        <f t="shared" si="3"/>
        <v/>
      </c>
      <c r="V64" s="686"/>
      <c r="W64" s="686"/>
      <c r="X64" s="686"/>
      <c r="Y64" s="686"/>
      <c r="Z64" s="686"/>
      <c r="AA64" s="686"/>
      <c r="AB64" s="686"/>
      <c r="AC64" s="686"/>
      <c r="AD64" s="686"/>
      <c r="AE64" s="686"/>
      <c r="AF64" s="686"/>
      <c r="AG64" s="686"/>
      <c r="AH64" s="686"/>
      <c r="AI64" s="686"/>
      <c r="AJ64" s="686"/>
      <c r="AK64" s="686"/>
      <c r="AL64" s="686"/>
      <c r="AM64" s="686"/>
      <c r="AN64" s="686"/>
      <c r="AO64" s="686"/>
      <c r="AP64" s="686"/>
      <c r="AQ64" s="686"/>
      <c r="AR64" s="686"/>
      <c r="AS64" s="686"/>
      <c r="AT64" s="686"/>
      <c r="AU64" s="686"/>
      <c r="AV64" s="686"/>
      <c r="AW64" s="686"/>
      <c r="AX64" s="686"/>
      <c r="AY64" s="686"/>
      <c r="AZ64" s="686"/>
      <c r="BA64" s="686"/>
      <c r="BB64" s="686"/>
      <c r="BC64" s="686"/>
      <c r="BD64" s="686"/>
      <c r="BE64" s="686"/>
      <c r="BF64" s="686"/>
      <c r="BG64" s="686"/>
      <c r="BH64" s="686"/>
      <c r="BI64" s="686"/>
      <c r="BJ64" s="686"/>
      <c r="BK64" s="686"/>
      <c r="BL64" s="686"/>
      <c r="BM64" s="686"/>
      <c r="BN64" s="686"/>
      <c r="BO64" s="686"/>
      <c r="BP64" s="686"/>
      <c r="BQ64" s="686"/>
      <c r="BR64" s="686"/>
      <c r="BS64" s="686"/>
      <c r="BT64" s="686"/>
      <c r="BU64" s="686"/>
      <c r="BV64" s="686"/>
      <c r="BW64" s="686"/>
      <c r="BX64" s="686"/>
      <c r="BY64" s="686"/>
      <c r="BZ64" s="686"/>
      <c r="CA64" s="686"/>
      <c r="CB64" s="686"/>
      <c r="CC64" s="686"/>
      <c r="CD64" s="686"/>
      <c r="CE64" s="686"/>
      <c r="CF64" s="686"/>
      <c r="CG64" s="686"/>
      <c r="CH64" s="686"/>
      <c r="CI64" s="686"/>
      <c r="CJ64" s="686"/>
      <c r="CK64" s="686"/>
      <c r="CL64" s="686"/>
      <c r="CM64" s="686"/>
      <c r="CN64" s="686"/>
      <c r="CO64" s="686"/>
      <c r="CP64" s="686"/>
      <c r="CQ64" s="686"/>
      <c r="CR64" s="686"/>
      <c r="CS64" s="686"/>
      <c r="CT64" s="686"/>
      <c r="CU64" s="686"/>
      <c r="CV64" s="686"/>
      <c r="CW64" s="686"/>
      <c r="CX64" s="686"/>
      <c r="CY64" s="686"/>
      <c r="CZ64" s="686"/>
      <c r="DA64" s="686"/>
      <c r="DB64" s="686"/>
      <c r="DC64" s="686"/>
      <c r="DD64" s="686"/>
      <c r="DE64" s="686"/>
      <c r="DF64" s="686"/>
      <c r="DG64" s="686"/>
      <c r="DH64" s="686"/>
      <c r="DI64" s="686"/>
      <c r="DJ64" s="686"/>
      <c r="DK64" s="686"/>
      <c r="DL64" s="686"/>
      <c r="DM64" s="686"/>
      <c r="DN64" s="686"/>
      <c r="DO64" s="686"/>
      <c r="DP64" s="686"/>
      <c r="DQ64" s="686"/>
      <c r="DR64" s="686"/>
      <c r="DS64" s="686"/>
      <c r="DT64" s="686"/>
      <c r="DU64" s="686"/>
      <c r="DV64" s="686"/>
      <c r="DW64" s="686"/>
      <c r="DX64" s="686"/>
    </row>
    <row r="65">
      <c r="A65" s="686" t="str">
        <f>IF('🤝 Client information'!Q118,"",IF('🤝 Client information'!K118="yes",'🤝 Client information'!C118,""))</f>
        <v/>
      </c>
      <c r="B65" s="686" t="str">
        <f>IF('🤝 Client information'!Q118,"",IF('🤝 Client information'!K118="yes",'🤝 Client information'!D118,""))</f>
        <v/>
      </c>
      <c r="C65" s="686" t="str">
        <f>IF('🤝 Client information'!Q118,"",IF('🤝 Client information'!K118="yes",'🤝 Client information'!F118,""))</f>
        <v/>
      </c>
      <c r="D65" s="686"/>
      <c r="E65" s="686"/>
      <c r="F65" s="686" t="str">
        <f>IF('🤝 Client information'!Q118,"",IF('🤝 Client information'!K118="yes",'🤝 Client information'!I118,""))</f>
        <v/>
      </c>
      <c r="G65" s="686" t="str">
        <f>IF('🤝 Client information'!Q118,"",IF('🤝 Client information'!K118="yes",'🤝 Client information'!J118,""))</f>
        <v/>
      </c>
      <c r="H65" s="686"/>
      <c r="I65" s="686"/>
      <c r="J65" s="686"/>
      <c r="K65" s="686"/>
      <c r="L65" s="686"/>
      <c r="M65" s="708" t="str">
        <f>IF('🤝 Client information'!Q118, "", IF(AND('🤝 Client information'!K118="yes", '🤝 Client information'!N118="yes"), "EMPLOYEE", IF(AND('🤝 Client information'!K118="yes", '🤝 Client information'!N118="no", '🤝 Client information'!H118="Finance &amp; Accounting"), "CONTROLLER", IF(AND('🤝 Client information'!K118="yes", '🤝 Client information'!N118="no", '🤝 Client information'!H118&lt;&gt;"Finance &amp; Accounting"), "FLEET_MGR", ""))))</f>
        <v/>
      </c>
      <c r="N65" s="709" t="str">
        <f t="shared" si="1"/>
        <v/>
      </c>
      <c r="O65" s="686"/>
      <c r="P65" s="686"/>
      <c r="Q65" s="686"/>
      <c r="R65" s="686"/>
      <c r="S65" s="686" t="str">
        <f t="shared" si="2"/>
        <v/>
      </c>
      <c r="T65" s="686"/>
      <c r="U65" s="709" t="str">
        <f t="shared" si="3"/>
        <v/>
      </c>
      <c r="V65" s="686"/>
      <c r="W65" s="686"/>
      <c r="X65" s="686"/>
      <c r="Y65" s="686"/>
      <c r="Z65" s="686"/>
      <c r="AA65" s="686"/>
      <c r="AB65" s="686"/>
      <c r="AC65" s="686"/>
      <c r="AD65" s="686"/>
      <c r="AE65" s="686"/>
      <c r="AF65" s="686"/>
      <c r="AG65" s="686"/>
      <c r="AH65" s="686"/>
      <c r="AI65" s="686"/>
      <c r="AJ65" s="686"/>
      <c r="AK65" s="686"/>
      <c r="AL65" s="686"/>
      <c r="AM65" s="686"/>
      <c r="AN65" s="686"/>
      <c r="AO65" s="686"/>
      <c r="AP65" s="686"/>
      <c r="AQ65" s="686"/>
      <c r="AR65" s="686"/>
      <c r="AS65" s="686"/>
      <c r="AT65" s="686"/>
      <c r="AU65" s="686"/>
      <c r="AV65" s="686"/>
      <c r="AW65" s="686"/>
      <c r="AX65" s="686"/>
      <c r="AY65" s="686"/>
      <c r="AZ65" s="686"/>
      <c r="BA65" s="686"/>
      <c r="BB65" s="686"/>
      <c r="BC65" s="686"/>
      <c r="BD65" s="686"/>
      <c r="BE65" s="686"/>
      <c r="BF65" s="686"/>
      <c r="BG65" s="686"/>
      <c r="BH65" s="686"/>
      <c r="BI65" s="686"/>
      <c r="BJ65" s="686"/>
      <c r="BK65" s="686"/>
      <c r="BL65" s="686"/>
      <c r="BM65" s="686"/>
      <c r="BN65" s="686"/>
      <c r="BO65" s="686"/>
      <c r="BP65" s="686"/>
      <c r="BQ65" s="686"/>
      <c r="BR65" s="686"/>
      <c r="BS65" s="686"/>
      <c r="BT65" s="686"/>
      <c r="BU65" s="686"/>
      <c r="BV65" s="686"/>
      <c r="BW65" s="686"/>
      <c r="BX65" s="686"/>
      <c r="BY65" s="686"/>
      <c r="BZ65" s="686"/>
      <c r="CA65" s="686"/>
      <c r="CB65" s="686"/>
      <c r="CC65" s="686"/>
      <c r="CD65" s="686"/>
      <c r="CE65" s="686"/>
      <c r="CF65" s="686"/>
      <c r="CG65" s="686"/>
      <c r="CH65" s="686"/>
      <c r="CI65" s="686"/>
      <c r="CJ65" s="686"/>
      <c r="CK65" s="686"/>
      <c r="CL65" s="686"/>
      <c r="CM65" s="686"/>
      <c r="CN65" s="686"/>
      <c r="CO65" s="686"/>
      <c r="CP65" s="686"/>
      <c r="CQ65" s="686"/>
      <c r="CR65" s="686"/>
      <c r="CS65" s="686"/>
      <c r="CT65" s="686"/>
      <c r="CU65" s="686"/>
      <c r="CV65" s="686"/>
      <c r="CW65" s="686"/>
      <c r="CX65" s="686"/>
      <c r="CY65" s="686"/>
      <c r="CZ65" s="686"/>
      <c r="DA65" s="686"/>
      <c r="DB65" s="686"/>
      <c r="DC65" s="686"/>
      <c r="DD65" s="686"/>
      <c r="DE65" s="686"/>
      <c r="DF65" s="686"/>
      <c r="DG65" s="686"/>
      <c r="DH65" s="686"/>
      <c r="DI65" s="686"/>
      <c r="DJ65" s="686"/>
      <c r="DK65" s="686"/>
      <c r="DL65" s="686"/>
      <c r="DM65" s="686"/>
      <c r="DN65" s="686"/>
      <c r="DO65" s="686"/>
      <c r="DP65" s="686"/>
      <c r="DQ65" s="686"/>
      <c r="DR65" s="686"/>
      <c r="DS65" s="686"/>
      <c r="DT65" s="686"/>
      <c r="DU65" s="686"/>
      <c r="DV65" s="686"/>
      <c r="DW65" s="686"/>
      <c r="DX65" s="686"/>
    </row>
    <row r="66">
      <c r="A66" s="686" t="str">
        <f>IF('🤝 Client information'!Q119,"",IF('🤝 Client information'!K119="yes",'🤝 Client information'!C119,""))</f>
        <v/>
      </c>
      <c r="B66" s="686" t="str">
        <f>IF('🤝 Client information'!Q119,"",IF('🤝 Client information'!K119="yes",'🤝 Client information'!D119,""))</f>
        <v/>
      </c>
      <c r="C66" s="686" t="str">
        <f>IF('🤝 Client information'!Q119,"",IF('🤝 Client information'!K119="yes",'🤝 Client information'!F119,""))</f>
        <v/>
      </c>
      <c r="D66" s="686"/>
      <c r="E66" s="686"/>
      <c r="F66" s="686" t="str">
        <f>IF('🤝 Client information'!Q119,"",IF('🤝 Client information'!K119="yes",'🤝 Client information'!I119,""))</f>
        <v/>
      </c>
      <c r="G66" s="686" t="str">
        <f>IF('🤝 Client information'!Q119,"",IF('🤝 Client information'!K119="yes",'🤝 Client information'!J119,""))</f>
        <v/>
      </c>
      <c r="H66" s="686"/>
      <c r="I66" s="686"/>
      <c r="J66" s="686"/>
      <c r="K66" s="686"/>
      <c r="L66" s="686"/>
      <c r="M66" s="708" t="str">
        <f>IF('🤝 Client information'!Q119, "", IF(AND('🤝 Client information'!K119="yes", '🤝 Client information'!N119="yes"), "EMPLOYEE", IF(AND('🤝 Client information'!K119="yes", '🤝 Client information'!N119="no", '🤝 Client information'!H119="Finance &amp; Accounting"), "CONTROLLER", IF(AND('🤝 Client information'!K119="yes", '🤝 Client information'!N119="no", '🤝 Client information'!H119&lt;&gt;"Finance &amp; Accounting"), "FLEET_MGR", ""))))</f>
        <v/>
      </c>
      <c r="N66" s="709" t="str">
        <f t="shared" si="1"/>
        <v/>
      </c>
      <c r="O66" s="686"/>
      <c r="P66" s="686"/>
      <c r="Q66" s="686"/>
      <c r="R66" s="686"/>
      <c r="S66" s="686" t="str">
        <f t="shared" si="2"/>
        <v/>
      </c>
      <c r="T66" s="686"/>
      <c r="U66" s="709" t="str">
        <f t="shared" si="3"/>
        <v/>
      </c>
      <c r="V66" s="686"/>
      <c r="W66" s="686"/>
      <c r="X66" s="686"/>
      <c r="Y66" s="686"/>
      <c r="Z66" s="686"/>
      <c r="AA66" s="686"/>
      <c r="AB66" s="686"/>
      <c r="AC66" s="686"/>
      <c r="AD66" s="686"/>
      <c r="AE66" s="686"/>
      <c r="AF66" s="686"/>
      <c r="AG66" s="686"/>
      <c r="AH66" s="686"/>
      <c r="AI66" s="686"/>
      <c r="AJ66" s="686"/>
      <c r="AK66" s="686"/>
      <c r="AL66" s="686"/>
      <c r="AM66" s="686"/>
      <c r="AN66" s="686"/>
      <c r="AO66" s="686"/>
      <c r="AP66" s="686"/>
      <c r="AQ66" s="686"/>
      <c r="AR66" s="686"/>
      <c r="AS66" s="686"/>
      <c r="AT66" s="686"/>
      <c r="AU66" s="686"/>
      <c r="AV66" s="686"/>
      <c r="AW66" s="686"/>
      <c r="AX66" s="686"/>
      <c r="AY66" s="686"/>
      <c r="AZ66" s="686"/>
      <c r="BA66" s="686"/>
      <c r="BB66" s="686"/>
      <c r="BC66" s="686"/>
      <c r="BD66" s="686"/>
      <c r="BE66" s="686"/>
      <c r="BF66" s="686"/>
      <c r="BG66" s="686"/>
      <c r="BH66" s="686"/>
      <c r="BI66" s="686"/>
      <c r="BJ66" s="686"/>
      <c r="BK66" s="686"/>
      <c r="BL66" s="686"/>
      <c r="BM66" s="686"/>
      <c r="BN66" s="686"/>
      <c r="BO66" s="686"/>
      <c r="BP66" s="686"/>
      <c r="BQ66" s="686"/>
      <c r="BR66" s="686"/>
      <c r="BS66" s="686"/>
      <c r="BT66" s="686"/>
      <c r="BU66" s="686"/>
      <c r="BV66" s="686"/>
      <c r="BW66" s="686"/>
      <c r="BX66" s="686"/>
      <c r="BY66" s="686"/>
      <c r="BZ66" s="686"/>
      <c r="CA66" s="686"/>
      <c r="CB66" s="686"/>
      <c r="CC66" s="686"/>
      <c r="CD66" s="686"/>
      <c r="CE66" s="686"/>
      <c r="CF66" s="686"/>
      <c r="CG66" s="686"/>
      <c r="CH66" s="686"/>
      <c r="CI66" s="686"/>
      <c r="CJ66" s="686"/>
      <c r="CK66" s="686"/>
      <c r="CL66" s="686"/>
      <c r="CM66" s="686"/>
      <c r="CN66" s="686"/>
      <c r="CO66" s="686"/>
      <c r="CP66" s="686"/>
      <c r="CQ66" s="686"/>
      <c r="CR66" s="686"/>
      <c r="CS66" s="686"/>
      <c r="CT66" s="686"/>
      <c r="CU66" s="686"/>
      <c r="CV66" s="686"/>
      <c r="CW66" s="686"/>
      <c r="CX66" s="686"/>
      <c r="CY66" s="686"/>
      <c r="CZ66" s="686"/>
      <c r="DA66" s="686"/>
      <c r="DB66" s="686"/>
      <c r="DC66" s="686"/>
      <c r="DD66" s="686"/>
      <c r="DE66" s="686"/>
      <c r="DF66" s="686"/>
      <c r="DG66" s="686"/>
      <c r="DH66" s="686"/>
      <c r="DI66" s="686"/>
      <c r="DJ66" s="686"/>
      <c r="DK66" s="686"/>
      <c r="DL66" s="686"/>
      <c r="DM66" s="686"/>
      <c r="DN66" s="686"/>
      <c r="DO66" s="686"/>
      <c r="DP66" s="686"/>
      <c r="DQ66" s="686"/>
      <c r="DR66" s="686"/>
      <c r="DS66" s="686"/>
      <c r="DT66" s="686"/>
      <c r="DU66" s="686"/>
      <c r="DV66" s="686"/>
      <c r="DW66" s="686"/>
      <c r="DX66" s="686"/>
    </row>
    <row r="67">
      <c r="A67" s="686" t="str">
        <f>IF('🤝 Client information'!Q120,"",IF('🤝 Client information'!K120="yes",'🤝 Client information'!C120,""))</f>
        <v/>
      </c>
      <c r="B67" s="686" t="str">
        <f>IF('🤝 Client information'!Q120,"",IF('🤝 Client information'!K120="yes",'🤝 Client information'!D120,""))</f>
        <v/>
      </c>
      <c r="C67" s="686" t="str">
        <f>IF('🤝 Client information'!Q120,"",IF('🤝 Client information'!K120="yes",'🤝 Client information'!F120,""))</f>
        <v/>
      </c>
      <c r="D67" s="686"/>
      <c r="E67" s="686"/>
      <c r="F67" s="686" t="str">
        <f>IF('🤝 Client information'!Q120,"",IF('🤝 Client information'!K120="yes",'🤝 Client information'!I120,""))</f>
        <v/>
      </c>
      <c r="G67" s="686" t="str">
        <f>IF('🤝 Client information'!Q120,"",IF('🤝 Client information'!K120="yes",'🤝 Client information'!J120,""))</f>
        <v/>
      </c>
      <c r="H67" s="686"/>
      <c r="I67" s="686"/>
      <c r="J67" s="686"/>
      <c r="K67" s="686"/>
      <c r="L67" s="686"/>
      <c r="M67" s="708" t="str">
        <f>IF('🤝 Client information'!Q120, "", IF(AND('🤝 Client information'!K120="yes", '🤝 Client information'!N120="yes"), "EMPLOYEE", IF(AND('🤝 Client information'!K120="yes", '🤝 Client information'!N120="no", '🤝 Client information'!H120="Finance &amp; Accounting"), "CONTROLLER", IF(AND('🤝 Client information'!K120="yes", '🤝 Client information'!N120="no", '🤝 Client information'!H120&lt;&gt;"Finance &amp; Accounting"), "FLEET_MGR", ""))))</f>
        <v/>
      </c>
      <c r="N67" s="709" t="str">
        <f t="shared" si="1"/>
        <v/>
      </c>
      <c r="O67" s="686"/>
      <c r="P67" s="686"/>
      <c r="Q67" s="686"/>
      <c r="R67" s="686"/>
      <c r="S67" s="686" t="str">
        <f t="shared" si="2"/>
        <v/>
      </c>
      <c r="T67" s="686"/>
      <c r="U67" s="709" t="str">
        <f t="shared" si="3"/>
        <v/>
      </c>
      <c r="V67" s="686"/>
      <c r="W67" s="686"/>
      <c r="X67" s="686"/>
      <c r="Y67" s="686"/>
      <c r="Z67" s="686"/>
      <c r="AA67" s="686"/>
      <c r="AB67" s="686"/>
      <c r="AC67" s="686"/>
      <c r="AD67" s="686"/>
      <c r="AE67" s="686"/>
      <c r="AF67" s="686"/>
      <c r="AG67" s="686"/>
      <c r="AH67" s="686"/>
      <c r="AI67" s="686"/>
      <c r="AJ67" s="686"/>
      <c r="AK67" s="686"/>
      <c r="AL67" s="686"/>
      <c r="AM67" s="686"/>
      <c r="AN67" s="686"/>
      <c r="AO67" s="686"/>
      <c r="AP67" s="686"/>
      <c r="AQ67" s="686"/>
      <c r="AR67" s="686"/>
      <c r="AS67" s="686"/>
      <c r="AT67" s="686"/>
      <c r="AU67" s="686"/>
      <c r="AV67" s="686"/>
      <c r="AW67" s="686"/>
      <c r="AX67" s="686"/>
      <c r="AY67" s="686"/>
      <c r="AZ67" s="686"/>
      <c r="BA67" s="686"/>
      <c r="BB67" s="686"/>
      <c r="BC67" s="686"/>
      <c r="BD67" s="686"/>
      <c r="BE67" s="686"/>
      <c r="BF67" s="686"/>
      <c r="BG67" s="686"/>
      <c r="BH67" s="686"/>
      <c r="BI67" s="686"/>
      <c r="BJ67" s="686"/>
      <c r="BK67" s="686"/>
      <c r="BL67" s="686"/>
      <c r="BM67" s="686"/>
      <c r="BN67" s="686"/>
      <c r="BO67" s="686"/>
      <c r="BP67" s="686"/>
      <c r="BQ67" s="686"/>
      <c r="BR67" s="686"/>
      <c r="BS67" s="686"/>
      <c r="BT67" s="686"/>
      <c r="BU67" s="686"/>
      <c r="BV67" s="686"/>
      <c r="BW67" s="686"/>
      <c r="BX67" s="686"/>
      <c r="BY67" s="686"/>
      <c r="BZ67" s="686"/>
      <c r="CA67" s="686"/>
      <c r="CB67" s="686"/>
      <c r="CC67" s="686"/>
      <c r="CD67" s="686"/>
      <c r="CE67" s="686"/>
      <c r="CF67" s="686"/>
      <c r="CG67" s="686"/>
      <c r="CH67" s="686"/>
      <c r="CI67" s="686"/>
      <c r="CJ67" s="686"/>
      <c r="CK67" s="686"/>
      <c r="CL67" s="686"/>
      <c r="CM67" s="686"/>
      <c r="CN67" s="686"/>
      <c r="CO67" s="686"/>
      <c r="CP67" s="686"/>
      <c r="CQ67" s="686"/>
      <c r="CR67" s="686"/>
      <c r="CS67" s="686"/>
      <c r="CT67" s="686"/>
      <c r="CU67" s="686"/>
      <c r="CV67" s="686"/>
      <c r="CW67" s="686"/>
      <c r="CX67" s="686"/>
      <c r="CY67" s="686"/>
      <c r="CZ67" s="686"/>
      <c r="DA67" s="686"/>
      <c r="DB67" s="686"/>
      <c r="DC67" s="686"/>
      <c r="DD67" s="686"/>
      <c r="DE67" s="686"/>
      <c r="DF67" s="686"/>
      <c r="DG67" s="686"/>
      <c r="DH67" s="686"/>
      <c r="DI67" s="686"/>
      <c r="DJ67" s="686"/>
      <c r="DK67" s="686"/>
      <c r="DL67" s="686"/>
      <c r="DM67" s="686"/>
      <c r="DN67" s="686"/>
      <c r="DO67" s="686"/>
      <c r="DP67" s="686"/>
      <c r="DQ67" s="686"/>
      <c r="DR67" s="686"/>
      <c r="DS67" s="686"/>
      <c r="DT67" s="686"/>
      <c r="DU67" s="686"/>
      <c r="DV67" s="686"/>
      <c r="DW67" s="686"/>
      <c r="DX67" s="686"/>
    </row>
    <row r="68">
      <c r="A68" s="686" t="str">
        <f>IF('🤝 Client information'!Q121,"",IF('🤝 Client information'!K121="yes",'🤝 Client information'!C121,""))</f>
        <v/>
      </c>
      <c r="B68" s="686" t="str">
        <f>IF('🤝 Client information'!Q121,"",IF('🤝 Client information'!K121="yes",'🤝 Client information'!D121,""))</f>
        <v/>
      </c>
      <c r="C68" s="686" t="str">
        <f>IF('🤝 Client information'!Q121,"",IF('🤝 Client information'!K121="yes",'🤝 Client information'!F121,""))</f>
        <v/>
      </c>
      <c r="D68" s="686"/>
      <c r="E68" s="686"/>
      <c r="F68" s="686" t="str">
        <f>IF('🤝 Client information'!Q121,"",IF('🤝 Client information'!K121="yes",'🤝 Client information'!I121,""))</f>
        <v/>
      </c>
      <c r="G68" s="686" t="str">
        <f>IF('🤝 Client information'!Q121,"",IF('🤝 Client information'!K121="yes",'🤝 Client information'!J121,""))</f>
        <v/>
      </c>
      <c r="H68" s="686"/>
      <c r="I68" s="686"/>
      <c r="J68" s="686"/>
      <c r="K68" s="686"/>
      <c r="L68" s="686"/>
      <c r="M68" s="708" t="str">
        <f>IF('🤝 Client information'!Q121, "", IF(AND('🤝 Client information'!K121="yes", '🤝 Client information'!N121="yes"), "EMPLOYEE", IF(AND('🤝 Client information'!K121="yes", '🤝 Client information'!N121="no", '🤝 Client information'!H121="Finance &amp; Accounting"), "CONTROLLER", IF(AND('🤝 Client information'!K121="yes", '🤝 Client information'!N121="no", '🤝 Client information'!H121&lt;&gt;"Finance &amp; Accounting"), "FLEET_MGR", ""))))</f>
        <v/>
      </c>
      <c r="N68" s="709" t="str">
        <f t="shared" si="1"/>
        <v/>
      </c>
      <c r="O68" s="686"/>
      <c r="P68" s="686"/>
      <c r="Q68" s="686"/>
      <c r="R68" s="686"/>
      <c r="S68" s="686" t="str">
        <f t="shared" si="2"/>
        <v/>
      </c>
      <c r="T68" s="686"/>
      <c r="U68" s="709" t="str">
        <f t="shared" si="3"/>
        <v/>
      </c>
      <c r="V68" s="686"/>
      <c r="W68" s="686"/>
      <c r="X68" s="686"/>
      <c r="Y68" s="686"/>
      <c r="Z68" s="686"/>
      <c r="AA68" s="686"/>
      <c r="AB68" s="686"/>
      <c r="AC68" s="686"/>
      <c r="AD68" s="686"/>
      <c r="AE68" s="686"/>
      <c r="AF68" s="686"/>
      <c r="AG68" s="686"/>
      <c r="AH68" s="686"/>
      <c r="AI68" s="686"/>
      <c r="AJ68" s="686"/>
      <c r="AK68" s="686"/>
      <c r="AL68" s="686"/>
      <c r="AM68" s="686"/>
      <c r="AN68" s="686"/>
      <c r="AO68" s="686"/>
      <c r="AP68" s="686"/>
      <c r="AQ68" s="686"/>
      <c r="AR68" s="686"/>
      <c r="AS68" s="686"/>
      <c r="AT68" s="686"/>
      <c r="AU68" s="686"/>
      <c r="AV68" s="686"/>
      <c r="AW68" s="686"/>
      <c r="AX68" s="686"/>
      <c r="AY68" s="686"/>
      <c r="AZ68" s="686"/>
      <c r="BA68" s="686"/>
      <c r="BB68" s="686"/>
      <c r="BC68" s="686"/>
      <c r="BD68" s="686"/>
      <c r="BE68" s="686"/>
      <c r="BF68" s="686"/>
      <c r="BG68" s="686"/>
      <c r="BH68" s="686"/>
      <c r="BI68" s="686"/>
      <c r="BJ68" s="686"/>
      <c r="BK68" s="686"/>
      <c r="BL68" s="686"/>
      <c r="BM68" s="686"/>
      <c r="BN68" s="686"/>
      <c r="BO68" s="686"/>
      <c r="BP68" s="686"/>
      <c r="BQ68" s="686"/>
      <c r="BR68" s="686"/>
      <c r="BS68" s="686"/>
      <c r="BT68" s="686"/>
      <c r="BU68" s="686"/>
      <c r="BV68" s="686"/>
      <c r="BW68" s="686"/>
      <c r="BX68" s="686"/>
      <c r="BY68" s="686"/>
      <c r="BZ68" s="686"/>
      <c r="CA68" s="686"/>
      <c r="CB68" s="686"/>
      <c r="CC68" s="686"/>
      <c r="CD68" s="686"/>
      <c r="CE68" s="686"/>
      <c r="CF68" s="686"/>
      <c r="CG68" s="686"/>
      <c r="CH68" s="686"/>
      <c r="CI68" s="686"/>
      <c r="CJ68" s="686"/>
      <c r="CK68" s="686"/>
      <c r="CL68" s="686"/>
      <c r="CM68" s="686"/>
      <c r="CN68" s="686"/>
      <c r="CO68" s="686"/>
      <c r="CP68" s="686"/>
      <c r="CQ68" s="686"/>
      <c r="CR68" s="686"/>
      <c r="CS68" s="686"/>
      <c r="CT68" s="686"/>
      <c r="CU68" s="686"/>
      <c r="CV68" s="686"/>
      <c r="CW68" s="686"/>
      <c r="CX68" s="686"/>
      <c r="CY68" s="686"/>
      <c r="CZ68" s="686"/>
      <c r="DA68" s="686"/>
      <c r="DB68" s="686"/>
      <c r="DC68" s="686"/>
      <c r="DD68" s="686"/>
      <c r="DE68" s="686"/>
      <c r="DF68" s="686"/>
      <c r="DG68" s="686"/>
      <c r="DH68" s="686"/>
      <c r="DI68" s="686"/>
      <c r="DJ68" s="686"/>
      <c r="DK68" s="686"/>
      <c r="DL68" s="686"/>
      <c r="DM68" s="686"/>
      <c r="DN68" s="686"/>
      <c r="DO68" s="686"/>
      <c r="DP68" s="686"/>
      <c r="DQ68" s="686"/>
      <c r="DR68" s="686"/>
      <c r="DS68" s="686"/>
      <c r="DT68" s="686"/>
      <c r="DU68" s="686"/>
      <c r="DV68" s="686"/>
      <c r="DW68" s="686"/>
      <c r="DX68" s="686"/>
    </row>
    <row r="69">
      <c r="A69" s="686" t="str">
        <f>IF('🤝 Client information'!Q122,"",IF('🤝 Client information'!K122="yes",'🤝 Client information'!C122,""))</f>
        <v/>
      </c>
      <c r="B69" s="686" t="str">
        <f>IF('🤝 Client information'!Q122,"",IF('🤝 Client information'!K122="yes",'🤝 Client information'!D122,""))</f>
        <v/>
      </c>
      <c r="C69" s="686" t="str">
        <f>IF('🤝 Client information'!Q122,"",IF('🤝 Client information'!K122="yes",'🤝 Client information'!F122,""))</f>
        <v/>
      </c>
      <c r="D69" s="686"/>
      <c r="E69" s="686"/>
      <c r="F69" s="686" t="str">
        <f>IF('🤝 Client information'!Q122,"",IF('🤝 Client information'!K122="yes",'🤝 Client information'!I122,""))</f>
        <v/>
      </c>
      <c r="G69" s="686" t="str">
        <f>IF('🤝 Client information'!Q122,"",IF('🤝 Client information'!K122="yes",'🤝 Client information'!J122,""))</f>
        <v/>
      </c>
      <c r="H69" s="686"/>
      <c r="I69" s="686"/>
      <c r="J69" s="686"/>
      <c r="K69" s="686"/>
      <c r="L69" s="686"/>
      <c r="M69" s="708" t="str">
        <f>IF('🤝 Client information'!Q122, "", IF(AND('🤝 Client information'!K122="yes", '🤝 Client information'!N122="yes"), "EMPLOYEE", IF(AND('🤝 Client information'!K122="yes", '🤝 Client information'!N122="no", '🤝 Client information'!H122="Finance &amp; Accounting"), "CONTROLLER", IF(AND('🤝 Client information'!K122="yes", '🤝 Client information'!N122="no", '🤝 Client information'!H122&lt;&gt;"Finance &amp; Accounting"), "FLEET_MGR", ""))))</f>
        <v/>
      </c>
      <c r="N69" s="709" t="str">
        <f t="shared" si="1"/>
        <v/>
      </c>
      <c r="O69" s="686"/>
      <c r="P69" s="686"/>
      <c r="Q69" s="686"/>
      <c r="R69" s="686"/>
      <c r="S69" s="686" t="str">
        <f t="shared" si="2"/>
        <v/>
      </c>
      <c r="T69" s="686"/>
      <c r="U69" s="709" t="str">
        <f t="shared" si="3"/>
        <v/>
      </c>
      <c r="V69" s="686"/>
      <c r="W69" s="686"/>
      <c r="X69" s="686"/>
      <c r="Y69" s="686"/>
      <c r="Z69" s="686"/>
      <c r="AA69" s="686"/>
      <c r="AB69" s="686"/>
      <c r="AC69" s="686"/>
      <c r="AD69" s="686"/>
      <c r="AE69" s="686"/>
      <c r="AF69" s="686"/>
      <c r="AG69" s="686"/>
      <c r="AH69" s="686"/>
      <c r="AI69" s="686"/>
      <c r="AJ69" s="686"/>
      <c r="AK69" s="686"/>
      <c r="AL69" s="686"/>
      <c r="AM69" s="686"/>
      <c r="AN69" s="686"/>
      <c r="AO69" s="686"/>
      <c r="AP69" s="686"/>
      <c r="AQ69" s="686"/>
      <c r="AR69" s="686"/>
      <c r="AS69" s="686"/>
      <c r="AT69" s="686"/>
      <c r="AU69" s="686"/>
      <c r="AV69" s="686"/>
      <c r="AW69" s="686"/>
      <c r="AX69" s="686"/>
      <c r="AY69" s="686"/>
      <c r="AZ69" s="686"/>
      <c r="BA69" s="686"/>
      <c r="BB69" s="686"/>
      <c r="BC69" s="686"/>
      <c r="BD69" s="686"/>
      <c r="BE69" s="686"/>
      <c r="BF69" s="686"/>
      <c r="BG69" s="686"/>
      <c r="BH69" s="686"/>
      <c r="BI69" s="686"/>
      <c r="BJ69" s="686"/>
      <c r="BK69" s="686"/>
      <c r="BL69" s="686"/>
      <c r="BM69" s="686"/>
      <c r="BN69" s="686"/>
      <c r="BO69" s="686"/>
      <c r="BP69" s="686"/>
      <c r="BQ69" s="686"/>
      <c r="BR69" s="686"/>
      <c r="BS69" s="686"/>
      <c r="BT69" s="686"/>
      <c r="BU69" s="686"/>
      <c r="BV69" s="686"/>
      <c r="BW69" s="686"/>
      <c r="BX69" s="686"/>
      <c r="BY69" s="686"/>
      <c r="BZ69" s="686"/>
      <c r="CA69" s="686"/>
      <c r="CB69" s="686"/>
      <c r="CC69" s="686"/>
      <c r="CD69" s="686"/>
      <c r="CE69" s="686"/>
      <c r="CF69" s="686"/>
      <c r="CG69" s="686"/>
      <c r="CH69" s="686"/>
      <c r="CI69" s="686"/>
      <c r="CJ69" s="686"/>
      <c r="CK69" s="686"/>
      <c r="CL69" s="686"/>
      <c r="CM69" s="686"/>
      <c r="CN69" s="686"/>
      <c r="CO69" s="686"/>
      <c r="CP69" s="686"/>
      <c r="CQ69" s="686"/>
      <c r="CR69" s="686"/>
      <c r="CS69" s="686"/>
      <c r="CT69" s="686"/>
      <c r="CU69" s="686"/>
      <c r="CV69" s="686"/>
      <c r="CW69" s="686"/>
      <c r="CX69" s="686"/>
      <c r="CY69" s="686"/>
      <c r="CZ69" s="686"/>
      <c r="DA69" s="686"/>
      <c r="DB69" s="686"/>
      <c r="DC69" s="686"/>
      <c r="DD69" s="686"/>
      <c r="DE69" s="686"/>
      <c r="DF69" s="686"/>
      <c r="DG69" s="686"/>
      <c r="DH69" s="686"/>
      <c r="DI69" s="686"/>
      <c r="DJ69" s="686"/>
      <c r="DK69" s="686"/>
      <c r="DL69" s="686"/>
      <c r="DM69" s="686"/>
      <c r="DN69" s="686"/>
      <c r="DO69" s="686"/>
      <c r="DP69" s="686"/>
      <c r="DQ69" s="686"/>
      <c r="DR69" s="686"/>
      <c r="DS69" s="686"/>
      <c r="DT69" s="686"/>
      <c r="DU69" s="686"/>
      <c r="DV69" s="686"/>
      <c r="DW69" s="686"/>
      <c r="DX69" s="686"/>
    </row>
    <row r="70">
      <c r="A70" s="686" t="str">
        <f>IF('🤝 Client information'!Q123,"",IF('🤝 Client information'!K123="yes",'🤝 Client information'!C123,""))</f>
        <v/>
      </c>
      <c r="B70" s="686" t="str">
        <f>IF('🤝 Client information'!Q123,"",IF('🤝 Client information'!K123="yes",'🤝 Client information'!D123,""))</f>
        <v/>
      </c>
      <c r="C70" s="686" t="str">
        <f>IF('🤝 Client information'!Q123,"",IF('🤝 Client information'!K123="yes",'🤝 Client information'!F123,""))</f>
        <v/>
      </c>
      <c r="D70" s="686"/>
      <c r="E70" s="686"/>
      <c r="F70" s="686" t="str">
        <f>IF('🤝 Client information'!Q123,"",IF('🤝 Client information'!K123="yes",'🤝 Client information'!I123,""))</f>
        <v/>
      </c>
      <c r="G70" s="686" t="str">
        <f>IF('🤝 Client information'!Q123,"",IF('🤝 Client information'!K123="yes",'🤝 Client information'!J123,""))</f>
        <v/>
      </c>
      <c r="H70" s="686"/>
      <c r="I70" s="686"/>
      <c r="J70" s="686"/>
      <c r="K70" s="686"/>
      <c r="L70" s="686"/>
      <c r="M70" s="708" t="str">
        <f>IF('🤝 Client information'!Q123, "", IF(AND('🤝 Client information'!K123="yes", '🤝 Client information'!N123="yes"), "EMPLOYEE", IF(AND('🤝 Client information'!K123="yes", '🤝 Client information'!N123="no", '🤝 Client information'!H123="Finance &amp; Accounting"), "CONTROLLER", IF(AND('🤝 Client information'!K123="yes", '🤝 Client information'!N123="no", '🤝 Client information'!H123&lt;&gt;"Finance &amp; Accounting"), "FLEET_MGR", ""))))</f>
        <v/>
      </c>
      <c r="N70" s="709" t="str">
        <f t="shared" si="1"/>
        <v/>
      </c>
      <c r="O70" s="686"/>
      <c r="P70" s="686"/>
      <c r="Q70" s="686"/>
      <c r="R70" s="686"/>
      <c r="S70" s="686" t="str">
        <f t="shared" si="2"/>
        <v/>
      </c>
      <c r="T70" s="686"/>
      <c r="U70" s="709" t="str">
        <f t="shared" si="3"/>
        <v/>
      </c>
      <c r="V70" s="686"/>
      <c r="W70" s="686"/>
      <c r="X70" s="686"/>
      <c r="Y70" s="686"/>
      <c r="Z70" s="686"/>
      <c r="AA70" s="686"/>
      <c r="AB70" s="686"/>
      <c r="AC70" s="686"/>
      <c r="AD70" s="686"/>
      <c r="AE70" s="686"/>
      <c r="AF70" s="686"/>
      <c r="AG70" s="686"/>
      <c r="AH70" s="686"/>
      <c r="AI70" s="686"/>
      <c r="AJ70" s="686"/>
      <c r="AK70" s="686"/>
      <c r="AL70" s="686"/>
      <c r="AM70" s="686"/>
      <c r="AN70" s="686"/>
      <c r="AO70" s="686"/>
      <c r="AP70" s="686"/>
      <c r="AQ70" s="686"/>
      <c r="AR70" s="686"/>
      <c r="AS70" s="686"/>
      <c r="AT70" s="686"/>
      <c r="AU70" s="686"/>
      <c r="AV70" s="686"/>
      <c r="AW70" s="686"/>
      <c r="AX70" s="686"/>
      <c r="AY70" s="686"/>
      <c r="AZ70" s="686"/>
      <c r="BA70" s="686"/>
      <c r="BB70" s="686"/>
      <c r="BC70" s="686"/>
      <c r="BD70" s="686"/>
      <c r="BE70" s="686"/>
      <c r="BF70" s="686"/>
      <c r="BG70" s="686"/>
      <c r="BH70" s="686"/>
      <c r="BI70" s="686"/>
      <c r="BJ70" s="686"/>
      <c r="BK70" s="686"/>
      <c r="BL70" s="686"/>
      <c r="BM70" s="686"/>
      <c r="BN70" s="686"/>
      <c r="BO70" s="686"/>
      <c r="BP70" s="686"/>
      <c r="BQ70" s="686"/>
      <c r="BR70" s="686"/>
      <c r="BS70" s="686"/>
      <c r="BT70" s="686"/>
      <c r="BU70" s="686"/>
      <c r="BV70" s="686"/>
      <c r="BW70" s="686"/>
      <c r="BX70" s="686"/>
      <c r="BY70" s="686"/>
      <c r="BZ70" s="686"/>
      <c r="CA70" s="686"/>
      <c r="CB70" s="686"/>
      <c r="CC70" s="686"/>
      <c r="CD70" s="686"/>
      <c r="CE70" s="686"/>
      <c r="CF70" s="686"/>
      <c r="CG70" s="686"/>
      <c r="CH70" s="686"/>
      <c r="CI70" s="686"/>
      <c r="CJ70" s="686"/>
      <c r="CK70" s="686"/>
      <c r="CL70" s="686"/>
      <c r="CM70" s="686"/>
      <c r="CN70" s="686"/>
      <c r="CO70" s="686"/>
      <c r="CP70" s="686"/>
      <c r="CQ70" s="686"/>
      <c r="CR70" s="686"/>
      <c r="CS70" s="686"/>
      <c r="CT70" s="686"/>
      <c r="CU70" s="686"/>
      <c r="CV70" s="686"/>
      <c r="CW70" s="686"/>
      <c r="CX70" s="686"/>
      <c r="CY70" s="686"/>
      <c r="CZ70" s="686"/>
      <c r="DA70" s="686"/>
      <c r="DB70" s="686"/>
      <c r="DC70" s="686"/>
      <c r="DD70" s="686"/>
      <c r="DE70" s="686"/>
      <c r="DF70" s="686"/>
      <c r="DG70" s="686"/>
      <c r="DH70" s="686"/>
      <c r="DI70" s="686"/>
      <c r="DJ70" s="686"/>
      <c r="DK70" s="686"/>
      <c r="DL70" s="686"/>
      <c r="DM70" s="686"/>
      <c r="DN70" s="686"/>
      <c r="DO70" s="686"/>
      <c r="DP70" s="686"/>
      <c r="DQ70" s="686"/>
      <c r="DR70" s="686"/>
      <c r="DS70" s="686"/>
      <c r="DT70" s="686"/>
      <c r="DU70" s="686"/>
      <c r="DV70" s="686"/>
      <c r="DW70" s="686"/>
      <c r="DX70" s="686"/>
    </row>
    <row r="71">
      <c r="A71" s="686" t="str">
        <f>IF('🤝 Client information'!Q124,"",IF('🤝 Client information'!K124="yes",'🤝 Client information'!C124,""))</f>
        <v/>
      </c>
      <c r="B71" s="686" t="str">
        <f>IF('🤝 Client information'!Q124,"",IF('🤝 Client information'!K124="yes",'🤝 Client information'!D124,""))</f>
        <v/>
      </c>
      <c r="C71" s="686" t="str">
        <f>IF('🤝 Client information'!Q124,"",IF('🤝 Client information'!K124="yes",'🤝 Client information'!F124,""))</f>
        <v/>
      </c>
      <c r="D71" s="686"/>
      <c r="E71" s="686"/>
      <c r="F71" s="686" t="str">
        <f>IF('🤝 Client information'!Q124,"",IF('🤝 Client information'!K124="yes",'🤝 Client information'!I124,""))</f>
        <v/>
      </c>
      <c r="G71" s="686" t="str">
        <f>IF('🤝 Client information'!Q124,"",IF('🤝 Client information'!K124="yes",'🤝 Client information'!J124,""))</f>
        <v/>
      </c>
      <c r="H71" s="686"/>
      <c r="I71" s="686"/>
      <c r="J71" s="686"/>
      <c r="K71" s="686"/>
      <c r="L71" s="686"/>
      <c r="M71" s="708" t="str">
        <f>IF('🤝 Client information'!Q124, "", IF(AND('🤝 Client information'!K124="yes", '🤝 Client information'!N124="yes"), "EMPLOYEE", IF(AND('🤝 Client information'!K124="yes", '🤝 Client information'!N124="no", '🤝 Client information'!H124="Finance &amp; Accounting"), "CONTROLLER", IF(AND('🤝 Client information'!K124="yes", '🤝 Client information'!N124="no", '🤝 Client information'!H124&lt;&gt;"Finance &amp; Accounting"), "FLEET_MGR", ""))))</f>
        <v/>
      </c>
      <c r="N71" s="709" t="str">
        <f t="shared" si="1"/>
        <v/>
      </c>
      <c r="O71" s="686"/>
      <c r="P71" s="686"/>
      <c r="Q71" s="686"/>
      <c r="R71" s="686"/>
      <c r="S71" s="686" t="str">
        <f t="shared" si="2"/>
        <v/>
      </c>
      <c r="T71" s="686"/>
      <c r="U71" s="709" t="str">
        <f t="shared" si="3"/>
        <v/>
      </c>
      <c r="V71" s="686"/>
      <c r="W71" s="686"/>
      <c r="X71" s="686"/>
      <c r="Y71" s="686"/>
      <c r="Z71" s="686"/>
      <c r="AA71" s="686"/>
      <c r="AB71" s="686"/>
      <c r="AC71" s="686"/>
      <c r="AD71" s="686"/>
      <c r="AE71" s="686"/>
      <c r="AF71" s="686"/>
      <c r="AG71" s="686"/>
      <c r="AH71" s="686"/>
      <c r="AI71" s="686"/>
      <c r="AJ71" s="686"/>
      <c r="AK71" s="686"/>
      <c r="AL71" s="686"/>
      <c r="AM71" s="686"/>
      <c r="AN71" s="686"/>
      <c r="AO71" s="686"/>
      <c r="AP71" s="686"/>
      <c r="AQ71" s="686"/>
      <c r="AR71" s="686"/>
      <c r="AS71" s="686"/>
      <c r="AT71" s="686"/>
      <c r="AU71" s="686"/>
      <c r="AV71" s="686"/>
      <c r="AW71" s="686"/>
      <c r="AX71" s="686"/>
      <c r="AY71" s="686"/>
      <c r="AZ71" s="686"/>
      <c r="BA71" s="686"/>
      <c r="BB71" s="686"/>
      <c r="BC71" s="686"/>
      <c r="BD71" s="686"/>
      <c r="BE71" s="686"/>
      <c r="BF71" s="686"/>
      <c r="BG71" s="686"/>
      <c r="BH71" s="686"/>
      <c r="BI71" s="686"/>
      <c r="BJ71" s="686"/>
      <c r="BK71" s="686"/>
      <c r="BL71" s="686"/>
      <c r="BM71" s="686"/>
      <c r="BN71" s="686"/>
      <c r="BO71" s="686"/>
      <c r="BP71" s="686"/>
      <c r="BQ71" s="686"/>
      <c r="BR71" s="686"/>
      <c r="BS71" s="686"/>
      <c r="BT71" s="686"/>
      <c r="BU71" s="686"/>
      <c r="BV71" s="686"/>
      <c r="BW71" s="686"/>
      <c r="BX71" s="686"/>
      <c r="BY71" s="686"/>
      <c r="BZ71" s="686"/>
      <c r="CA71" s="686"/>
      <c r="CB71" s="686"/>
      <c r="CC71" s="686"/>
      <c r="CD71" s="686"/>
      <c r="CE71" s="686"/>
      <c r="CF71" s="686"/>
      <c r="CG71" s="686"/>
      <c r="CH71" s="686"/>
      <c r="CI71" s="686"/>
      <c r="CJ71" s="686"/>
      <c r="CK71" s="686"/>
      <c r="CL71" s="686"/>
      <c r="CM71" s="686"/>
      <c r="CN71" s="686"/>
      <c r="CO71" s="686"/>
      <c r="CP71" s="686"/>
      <c r="CQ71" s="686"/>
      <c r="CR71" s="686"/>
      <c r="CS71" s="686"/>
      <c r="CT71" s="686"/>
      <c r="CU71" s="686"/>
      <c r="CV71" s="686"/>
      <c r="CW71" s="686"/>
      <c r="CX71" s="686"/>
      <c r="CY71" s="686"/>
      <c r="CZ71" s="686"/>
      <c r="DA71" s="686"/>
      <c r="DB71" s="686"/>
      <c r="DC71" s="686"/>
      <c r="DD71" s="686"/>
      <c r="DE71" s="686"/>
      <c r="DF71" s="686"/>
      <c r="DG71" s="686"/>
      <c r="DH71" s="686"/>
      <c r="DI71" s="686"/>
      <c r="DJ71" s="686"/>
      <c r="DK71" s="686"/>
      <c r="DL71" s="686"/>
      <c r="DM71" s="686"/>
      <c r="DN71" s="686"/>
      <c r="DO71" s="686"/>
      <c r="DP71" s="686"/>
      <c r="DQ71" s="686"/>
      <c r="DR71" s="686"/>
      <c r="DS71" s="686"/>
      <c r="DT71" s="686"/>
      <c r="DU71" s="686"/>
      <c r="DV71" s="686"/>
      <c r="DW71" s="686"/>
      <c r="DX71" s="686"/>
    </row>
    <row r="72">
      <c r="A72" s="686" t="str">
        <f>IF('🤝 Client information'!Q125,"",IF('🤝 Client information'!K125="yes",'🤝 Client information'!C125,""))</f>
        <v/>
      </c>
      <c r="B72" s="686" t="str">
        <f>IF('🤝 Client information'!Q125,"",IF('🤝 Client information'!K125="yes",'🤝 Client information'!D125,""))</f>
        <v/>
      </c>
      <c r="C72" s="686" t="str">
        <f>IF('🤝 Client information'!Q125,"",IF('🤝 Client information'!K125="yes",'🤝 Client information'!F125,""))</f>
        <v/>
      </c>
      <c r="D72" s="686"/>
      <c r="E72" s="686"/>
      <c r="F72" s="686" t="str">
        <f>IF('🤝 Client information'!Q125,"",IF('🤝 Client information'!K125="yes",'🤝 Client information'!I125,""))</f>
        <v/>
      </c>
      <c r="G72" s="686" t="str">
        <f>IF('🤝 Client information'!Q125,"",IF('🤝 Client information'!K125="yes",'🤝 Client information'!J125,""))</f>
        <v/>
      </c>
      <c r="H72" s="686"/>
      <c r="I72" s="686"/>
      <c r="J72" s="686"/>
      <c r="K72" s="686"/>
      <c r="L72" s="686"/>
      <c r="M72" s="708" t="str">
        <f>IF('🤝 Client information'!Q125, "", IF(AND('🤝 Client information'!K125="yes", '🤝 Client information'!N125="yes"), "EMPLOYEE", IF(AND('🤝 Client information'!K125="yes", '🤝 Client information'!N125="no", '🤝 Client information'!H125="Finance &amp; Accounting"), "CONTROLLER", IF(AND('🤝 Client information'!K125="yes", '🤝 Client information'!N125="no", '🤝 Client information'!H125&lt;&gt;"Finance &amp; Accounting"), "FLEET_MGR", ""))))</f>
        <v/>
      </c>
      <c r="N72" s="709" t="str">
        <f t="shared" si="1"/>
        <v/>
      </c>
      <c r="O72" s="686"/>
      <c r="P72" s="686"/>
      <c r="Q72" s="686"/>
      <c r="R72" s="686"/>
      <c r="S72" s="686" t="str">
        <f t="shared" si="2"/>
        <v/>
      </c>
      <c r="T72" s="686"/>
      <c r="U72" s="709" t="str">
        <f t="shared" si="3"/>
        <v/>
      </c>
      <c r="V72" s="686"/>
      <c r="W72" s="686"/>
      <c r="X72" s="686"/>
      <c r="Y72" s="686"/>
      <c r="Z72" s="686"/>
      <c r="AA72" s="686"/>
      <c r="AB72" s="686"/>
      <c r="AC72" s="686"/>
      <c r="AD72" s="686"/>
      <c r="AE72" s="686"/>
      <c r="AF72" s="686"/>
      <c r="AG72" s="686"/>
      <c r="AH72" s="686"/>
      <c r="AI72" s="686"/>
      <c r="AJ72" s="686"/>
      <c r="AK72" s="686"/>
      <c r="AL72" s="686"/>
      <c r="AM72" s="686"/>
      <c r="AN72" s="686"/>
      <c r="AO72" s="686"/>
      <c r="AP72" s="686"/>
      <c r="AQ72" s="686"/>
      <c r="AR72" s="686"/>
      <c r="AS72" s="686"/>
      <c r="AT72" s="686"/>
      <c r="AU72" s="686"/>
      <c r="AV72" s="686"/>
      <c r="AW72" s="686"/>
      <c r="AX72" s="686"/>
      <c r="AY72" s="686"/>
      <c r="AZ72" s="686"/>
      <c r="BA72" s="686"/>
      <c r="BB72" s="686"/>
      <c r="BC72" s="686"/>
      <c r="BD72" s="686"/>
      <c r="BE72" s="686"/>
      <c r="BF72" s="686"/>
      <c r="BG72" s="686"/>
      <c r="BH72" s="686"/>
      <c r="BI72" s="686"/>
      <c r="BJ72" s="686"/>
      <c r="BK72" s="686"/>
      <c r="BL72" s="686"/>
      <c r="BM72" s="686"/>
      <c r="BN72" s="686"/>
      <c r="BO72" s="686"/>
      <c r="BP72" s="686"/>
      <c r="BQ72" s="686"/>
      <c r="BR72" s="686"/>
      <c r="BS72" s="686"/>
      <c r="BT72" s="686"/>
      <c r="BU72" s="686"/>
      <c r="BV72" s="686"/>
      <c r="BW72" s="686"/>
      <c r="BX72" s="686"/>
      <c r="BY72" s="686"/>
      <c r="BZ72" s="686"/>
      <c r="CA72" s="686"/>
      <c r="CB72" s="686"/>
      <c r="CC72" s="686"/>
      <c r="CD72" s="686"/>
      <c r="CE72" s="686"/>
      <c r="CF72" s="686"/>
      <c r="CG72" s="686"/>
      <c r="CH72" s="686"/>
      <c r="CI72" s="686"/>
      <c r="CJ72" s="686"/>
      <c r="CK72" s="686"/>
      <c r="CL72" s="686"/>
      <c r="CM72" s="686"/>
      <c r="CN72" s="686"/>
      <c r="CO72" s="686"/>
      <c r="CP72" s="686"/>
      <c r="CQ72" s="686"/>
      <c r="CR72" s="686"/>
      <c r="CS72" s="686"/>
      <c r="CT72" s="686"/>
      <c r="CU72" s="686"/>
      <c r="CV72" s="686"/>
      <c r="CW72" s="686"/>
      <c r="CX72" s="686"/>
      <c r="CY72" s="686"/>
      <c r="CZ72" s="686"/>
      <c r="DA72" s="686"/>
      <c r="DB72" s="686"/>
      <c r="DC72" s="686"/>
      <c r="DD72" s="686"/>
      <c r="DE72" s="686"/>
      <c r="DF72" s="686"/>
      <c r="DG72" s="686"/>
      <c r="DH72" s="686"/>
      <c r="DI72" s="686"/>
      <c r="DJ72" s="686"/>
      <c r="DK72" s="686"/>
      <c r="DL72" s="686"/>
      <c r="DM72" s="686"/>
      <c r="DN72" s="686"/>
      <c r="DO72" s="686"/>
      <c r="DP72" s="686"/>
      <c r="DQ72" s="686"/>
      <c r="DR72" s="686"/>
      <c r="DS72" s="686"/>
      <c r="DT72" s="686"/>
      <c r="DU72" s="686"/>
      <c r="DV72" s="686"/>
      <c r="DW72" s="686"/>
      <c r="DX72" s="686"/>
    </row>
    <row r="73">
      <c r="A73" s="686" t="str">
        <f>IF('🤝 Client information'!Q126,"",IF('🤝 Client information'!K126="yes",'🤝 Client information'!C126,""))</f>
        <v/>
      </c>
      <c r="B73" s="686" t="str">
        <f>IF('🤝 Client information'!Q126,"",IF('🤝 Client information'!K126="yes",'🤝 Client information'!D126,""))</f>
        <v/>
      </c>
      <c r="C73" s="686" t="str">
        <f>IF('🤝 Client information'!Q126,"",IF('🤝 Client information'!K126="yes",'🤝 Client information'!F126,""))</f>
        <v/>
      </c>
      <c r="D73" s="686"/>
      <c r="E73" s="686"/>
      <c r="F73" s="686" t="str">
        <f>IF('🤝 Client information'!Q126,"",IF('🤝 Client information'!K126="yes",'🤝 Client information'!I126,""))</f>
        <v/>
      </c>
      <c r="G73" s="686" t="str">
        <f>IF('🤝 Client information'!Q126,"",IF('🤝 Client information'!K126="yes",'🤝 Client information'!J126,""))</f>
        <v/>
      </c>
      <c r="H73" s="686"/>
      <c r="I73" s="686"/>
      <c r="J73" s="686"/>
      <c r="K73" s="686"/>
      <c r="L73" s="686"/>
      <c r="M73" s="708" t="str">
        <f>IF('🤝 Client information'!Q126, "", IF(AND('🤝 Client information'!K126="yes", '🤝 Client information'!N126="yes"), "EMPLOYEE", IF(AND('🤝 Client information'!K126="yes", '🤝 Client information'!N126="no", '🤝 Client information'!H126="Finance &amp; Accounting"), "CONTROLLER", IF(AND('🤝 Client information'!K126="yes", '🤝 Client information'!N126="no", '🤝 Client information'!H126&lt;&gt;"Finance &amp; Accounting"), "FLEET_MGR", ""))))</f>
        <v/>
      </c>
      <c r="N73" s="709" t="str">
        <f t="shared" si="1"/>
        <v/>
      </c>
      <c r="O73" s="686"/>
      <c r="P73" s="686"/>
      <c r="Q73" s="686"/>
      <c r="R73" s="686"/>
      <c r="S73" s="686" t="str">
        <f t="shared" si="2"/>
        <v/>
      </c>
      <c r="T73" s="686"/>
      <c r="U73" s="709" t="str">
        <f t="shared" si="3"/>
        <v/>
      </c>
      <c r="V73" s="686"/>
      <c r="W73" s="686"/>
      <c r="X73" s="686"/>
      <c r="Y73" s="686"/>
      <c r="Z73" s="686"/>
      <c r="AA73" s="686"/>
      <c r="AB73" s="686"/>
      <c r="AC73" s="686"/>
      <c r="AD73" s="686"/>
      <c r="AE73" s="686"/>
      <c r="AF73" s="686"/>
      <c r="AG73" s="686"/>
      <c r="AH73" s="686"/>
      <c r="AI73" s="686"/>
      <c r="AJ73" s="686"/>
      <c r="AK73" s="686"/>
      <c r="AL73" s="686"/>
      <c r="AM73" s="686"/>
      <c r="AN73" s="686"/>
      <c r="AO73" s="686"/>
      <c r="AP73" s="686"/>
      <c r="AQ73" s="686"/>
      <c r="AR73" s="686"/>
      <c r="AS73" s="686"/>
      <c r="AT73" s="686"/>
      <c r="AU73" s="686"/>
      <c r="AV73" s="686"/>
      <c r="AW73" s="686"/>
      <c r="AX73" s="686"/>
      <c r="AY73" s="686"/>
      <c r="AZ73" s="686"/>
      <c r="BA73" s="686"/>
      <c r="BB73" s="686"/>
      <c r="BC73" s="686"/>
      <c r="BD73" s="686"/>
      <c r="BE73" s="686"/>
      <c r="BF73" s="686"/>
      <c r="BG73" s="686"/>
      <c r="BH73" s="686"/>
      <c r="BI73" s="686"/>
      <c r="BJ73" s="686"/>
      <c r="BK73" s="686"/>
      <c r="BL73" s="686"/>
      <c r="BM73" s="686"/>
      <c r="BN73" s="686"/>
      <c r="BO73" s="686"/>
      <c r="BP73" s="686"/>
      <c r="BQ73" s="686"/>
      <c r="BR73" s="686"/>
      <c r="BS73" s="686"/>
      <c r="BT73" s="686"/>
      <c r="BU73" s="686"/>
      <c r="BV73" s="686"/>
      <c r="BW73" s="686"/>
      <c r="BX73" s="686"/>
      <c r="BY73" s="686"/>
      <c r="BZ73" s="686"/>
      <c r="CA73" s="686"/>
      <c r="CB73" s="686"/>
      <c r="CC73" s="686"/>
      <c r="CD73" s="686"/>
      <c r="CE73" s="686"/>
      <c r="CF73" s="686"/>
      <c r="CG73" s="686"/>
      <c r="CH73" s="686"/>
      <c r="CI73" s="686"/>
      <c r="CJ73" s="686"/>
      <c r="CK73" s="686"/>
      <c r="CL73" s="686"/>
      <c r="CM73" s="686"/>
      <c r="CN73" s="686"/>
      <c r="CO73" s="686"/>
      <c r="CP73" s="686"/>
      <c r="CQ73" s="686"/>
      <c r="CR73" s="686"/>
      <c r="CS73" s="686"/>
      <c r="CT73" s="686"/>
      <c r="CU73" s="686"/>
      <c r="CV73" s="686"/>
      <c r="CW73" s="686"/>
      <c r="CX73" s="686"/>
      <c r="CY73" s="686"/>
      <c r="CZ73" s="686"/>
      <c r="DA73" s="686"/>
      <c r="DB73" s="686"/>
      <c r="DC73" s="686"/>
      <c r="DD73" s="686"/>
      <c r="DE73" s="686"/>
      <c r="DF73" s="686"/>
      <c r="DG73" s="686"/>
      <c r="DH73" s="686"/>
      <c r="DI73" s="686"/>
      <c r="DJ73" s="686"/>
      <c r="DK73" s="686"/>
      <c r="DL73" s="686"/>
      <c r="DM73" s="686"/>
      <c r="DN73" s="686"/>
      <c r="DO73" s="686"/>
      <c r="DP73" s="686"/>
      <c r="DQ73" s="686"/>
      <c r="DR73" s="686"/>
      <c r="DS73" s="686"/>
      <c r="DT73" s="686"/>
      <c r="DU73" s="686"/>
      <c r="DV73" s="686"/>
      <c r="DW73" s="686"/>
      <c r="DX73" s="686"/>
    </row>
    <row r="74">
      <c r="A74" s="710"/>
      <c r="B74" s="710"/>
      <c r="C74" s="710"/>
      <c r="D74" s="710"/>
      <c r="E74" s="710"/>
      <c r="F74" s="710"/>
      <c r="G74" s="710"/>
      <c r="H74" s="710"/>
      <c r="I74" s="710"/>
      <c r="J74" s="710"/>
      <c r="K74" s="710"/>
      <c r="L74" s="710"/>
      <c r="M74" s="710"/>
      <c r="N74" s="710"/>
      <c r="O74" s="710"/>
      <c r="P74" s="710"/>
      <c r="Q74" s="710"/>
      <c r="R74" s="710"/>
      <c r="S74" s="710"/>
      <c r="T74" s="710"/>
      <c r="U74" s="710"/>
      <c r="V74" s="710"/>
      <c r="W74" s="710"/>
      <c r="X74" s="710"/>
      <c r="Y74" s="710"/>
      <c r="Z74" s="710"/>
      <c r="AA74" s="710"/>
      <c r="AB74" s="710"/>
      <c r="AC74" s="710"/>
      <c r="AD74" s="710"/>
      <c r="AE74" s="710"/>
      <c r="AF74" s="710"/>
      <c r="AG74" s="710"/>
      <c r="AH74" s="710"/>
      <c r="AI74" s="710"/>
      <c r="AJ74" s="710"/>
      <c r="AK74" s="710"/>
      <c r="AL74" s="710"/>
      <c r="AM74" s="710"/>
      <c r="AN74" s="710"/>
      <c r="AO74" s="710"/>
      <c r="AP74" s="710"/>
      <c r="AQ74" s="710"/>
      <c r="AR74" s="710"/>
      <c r="AS74" s="710"/>
      <c r="AT74" s="710"/>
      <c r="AU74" s="710"/>
      <c r="AV74" s="710"/>
      <c r="AW74" s="710"/>
      <c r="AX74" s="710"/>
      <c r="AY74" s="710"/>
      <c r="AZ74" s="710"/>
      <c r="BA74" s="710"/>
      <c r="BB74" s="710"/>
      <c r="BC74" s="710"/>
      <c r="BD74" s="710"/>
      <c r="BE74" s="710"/>
      <c r="BF74" s="710"/>
      <c r="BG74" s="710"/>
      <c r="BH74" s="710"/>
      <c r="BI74" s="710"/>
      <c r="BJ74" s="710"/>
      <c r="BK74" s="710"/>
      <c r="BL74" s="710"/>
      <c r="BM74" s="710"/>
      <c r="BN74" s="710"/>
      <c r="BO74" s="710"/>
      <c r="BP74" s="710"/>
      <c r="BQ74" s="710"/>
      <c r="BR74" s="710"/>
      <c r="BS74" s="710"/>
      <c r="BT74" s="710"/>
      <c r="BU74" s="710"/>
      <c r="BV74" s="710"/>
      <c r="BW74" s="710"/>
      <c r="BX74" s="710"/>
      <c r="BY74" s="710"/>
      <c r="BZ74" s="710"/>
      <c r="CA74" s="710"/>
      <c r="CB74" s="710"/>
      <c r="CC74" s="710"/>
      <c r="CD74" s="710"/>
      <c r="CE74" s="710"/>
      <c r="CF74" s="710"/>
      <c r="CG74" s="710"/>
      <c r="CH74" s="710"/>
      <c r="CI74" s="710"/>
      <c r="CJ74" s="710"/>
      <c r="CK74" s="710"/>
      <c r="CL74" s="710"/>
      <c r="CM74" s="710"/>
      <c r="CN74" s="710"/>
      <c r="CO74" s="710"/>
      <c r="CP74" s="710"/>
      <c r="CQ74" s="710"/>
      <c r="CR74" s="710"/>
      <c r="CS74" s="710"/>
      <c r="CT74" s="710"/>
      <c r="CU74" s="710"/>
      <c r="CV74" s="710"/>
      <c r="CW74" s="710"/>
      <c r="CX74" s="710"/>
      <c r="CY74" s="710"/>
      <c r="CZ74" s="710"/>
      <c r="DA74" s="710"/>
      <c r="DB74" s="710"/>
      <c r="DC74" s="710"/>
      <c r="DD74" s="710"/>
      <c r="DE74" s="710"/>
      <c r="DF74" s="710"/>
      <c r="DG74" s="710"/>
      <c r="DH74" s="710"/>
      <c r="DI74" s="710"/>
      <c r="DJ74" s="710"/>
      <c r="DK74" s="710"/>
      <c r="DL74" s="710"/>
      <c r="DM74" s="710"/>
      <c r="DN74" s="710"/>
      <c r="DO74" s="710"/>
      <c r="DP74" s="710"/>
      <c r="DQ74" s="710"/>
      <c r="DR74" s="710"/>
      <c r="DS74" s="710"/>
      <c r="DT74" s="710"/>
      <c r="DU74" s="710"/>
      <c r="DV74" s="710"/>
      <c r="DW74" s="710"/>
      <c r="DX74" s="710"/>
    </row>
  </sheetData>
  <mergeCells count="13">
    <mergeCell ref="F10:I10"/>
    <mergeCell ref="F11:I11"/>
    <mergeCell ref="F12:I12"/>
    <mergeCell ref="F13:I13"/>
    <mergeCell ref="F14:I14"/>
    <mergeCell ref="F15:I15"/>
    <mergeCell ref="A2:A3"/>
    <mergeCell ref="B2:D3"/>
    <mergeCell ref="F5:I5"/>
    <mergeCell ref="F6:I6"/>
    <mergeCell ref="F7:I7"/>
    <mergeCell ref="F8:I8"/>
    <mergeCell ref="F9:I9"/>
  </mergeCells>
  <drawing r:id="rId1"/>
</worksheet>
</file>